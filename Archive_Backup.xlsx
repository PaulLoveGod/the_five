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potat\Desktop\Miracle_Life\My_AI_For_Claude\"/>
    </mc:Choice>
  </mc:AlternateContent>
  <xr:revisionPtr revIDLastSave="0" documentId="13_ncr:1_{59E47332-8D31-4F5E-BF87-AA0F96B40B75}" xr6:coauthVersionLast="36" xr6:coauthVersionMax="36" xr10:uidLastSave="{00000000-0000-0000-0000-000000000000}"/>
  <bookViews>
    <workbookView xWindow="0" yWindow="0" windowWidth="21600" windowHeight="10403" xr2:uid="{1A126014-6072-486D-BCFA-5291CF7C6840}"/>
  </bookViews>
  <sheets>
    <sheet name="Archive" sheetId="1" r:id="rId1"/>
  </sheets>
  <externalReferences>
    <externalReference r:id="rId2"/>
    <externalReference r:id="rId3"/>
    <externalReference r:id="rId4"/>
    <externalReference r:id="rId5"/>
  </externalReferences>
  <definedNames>
    <definedName name="_____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__TEL3" hidden="1">{"'tel2'!$B$29:$J$45","'tel2'!$A$5:$G$19","'tel2'!$B$50:$F$57","'tel2'!$B$105:$G$110","'tel2'!$B$63:$H$85","'tel2'!$B$14:$G$18","'tel2'!$B$29:$C$29"}</definedName>
    <definedName name="_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_TEL3" hidden="1">{"'tel2'!$B$29:$J$45","'tel2'!$A$5:$G$19","'tel2'!$B$50:$F$57","'tel2'!$B$105:$G$110","'tel2'!$B$63:$H$85","'tel2'!$B$14:$G$18","'tel2'!$B$29:$C$29"}</definedName>
    <definedName name="_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_TEL3" hidden="1">{"'tel2'!$B$29:$J$45","'tel2'!$A$5:$G$19","'tel2'!$B$50:$F$57","'tel2'!$B$105:$G$110","'tel2'!$B$63:$H$85","'tel2'!$B$14:$G$18","'tel2'!$B$29:$C$29"}</definedName>
    <definedName name="_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_TEL3" hidden="1">{"'tel2'!$B$29:$J$45","'tel2'!$A$5:$G$19","'tel2'!$B$50:$F$57","'tel2'!$B$105:$G$110","'tel2'!$B$63:$H$85","'tel2'!$B$14:$G$18","'tel2'!$B$29:$C$29"}</definedName>
    <definedName name="_______A9" hidden="1">{#N/A,#N/A,FALSE,"손익표지";#N/A,#N/A,FALSE,"손익계산";#N/A,#N/A,FALSE,"일반관리비";#N/A,#N/A,FALSE,"영업외수익";#N/A,#N/A,FALSE,"영업외비용";#N/A,#N/A,FALSE,"매출액";#N/A,#N/A,FALSE,"요약손익";#N/A,#N/A,FALSE,"요약대차";#N/A,#N/A,FALSE,"매출채권현황";#N/A,#N/A,FALSE,"매출채권명세"}</definedName>
    <definedName name="_______TEL3" hidden="1">{"'tel2'!$B$29:$J$45","'tel2'!$A$5:$G$19","'tel2'!$B$50:$F$57","'tel2'!$B$105:$G$110","'tel2'!$B$63:$H$85","'tel2'!$B$14:$G$18","'tel2'!$B$29:$C$29"}</definedName>
    <definedName name="______A9" hidden="1">{#N/A,#N/A,FALSE,"손익표지";#N/A,#N/A,FALSE,"손익계산";#N/A,#N/A,FALSE,"일반관리비";#N/A,#N/A,FALSE,"영업외수익";#N/A,#N/A,FALSE,"영업외비용";#N/A,#N/A,FALSE,"매출액";#N/A,#N/A,FALSE,"요약손익";#N/A,#N/A,FALSE,"요약대차";#N/A,#N/A,FALSE,"매출채권현황";#N/A,#N/A,FALSE,"매출채권명세"}</definedName>
    <definedName name="______TEL3" hidden="1">{"'tel2'!$B$29:$J$45","'tel2'!$A$5:$G$19","'tel2'!$B$50:$F$57","'tel2'!$B$105:$G$110","'tel2'!$B$63:$H$85","'tel2'!$B$14:$G$18","'tel2'!$B$29:$C$29"}</definedName>
    <definedName name="_____A9" hidden="1">{#N/A,#N/A,FALSE,"손익표지";#N/A,#N/A,FALSE,"손익계산";#N/A,#N/A,FALSE,"일반관리비";#N/A,#N/A,FALSE,"영업외수익";#N/A,#N/A,FALSE,"영업외비용";#N/A,#N/A,FALSE,"매출액";#N/A,#N/A,FALSE,"요약손익";#N/A,#N/A,FALSE,"요약대차";#N/A,#N/A,FALSE,"매출채권현황";#N/A,#N/A,FALSE,"매출채권명세"}</definedName>
    <definedName name="_____j1" hidden="1">{#N/A,#N/A,FALSE,"손익표지";#N/A,#N/A,FALSE,"손익계산";#N/A,#N/A,FALSE,"일반관리비";#N/A,#N/A,FALSE,"영업외수익";#N/A,#N/A,FALSE,"영업외비용";#N/A,#N/A,FALSE,"매출액";#N/A,#N/A,FALSE,"요약손익";#N/A,#N/A,FALSE,"요약대차";#N/A,#N/A,FALSE,"매출채권현황";#N/A,#N/A,FALSE,"매출채권명세"}</definedName>
    <definedName name="_____TEL3" hidden="1">{"'tel2'!$B$29:$J$45","'tel2'!$A$5:$G$19","'tel2'!$B$50:$F$57","'tel2'!$B$105:$G$110","'tel2'!$B$63:$H$85","'tel2'!$B$14:$G$18","'tel2'!$B$29:$C$29"}</definedName>
    <definedName name="____A9" hidden="1">{#N/A,#N/A,FALSE,"손익표지";#N/A,#N/A,FALSE,"손익계산";#N/A,#N/A,FALSE,"일반관리비";#N/A,#N/A,FALSE,"영업외수익";#N/A,#N/A,FALSE,"영업외비용";#N/A,#N/A,FALSE,"매출액";#N/A,#N/A,FALSE,"요약손익";#N/A,#N/A,FALSE,"요약대차";#N/A,#N/A,FALSE,"매출채권현황";#N/A,#N/A,FALSE,"매출채권명세"}</definedName>
    <definedName name="____j1" hidden="1">{#N/A,#N/A,FALSE,"손익표지";#N/A,#N/A,FALSE,"손익계산";#N/A,#N/A,FALSE,"일반관리비";#N/A,#N/A,FALSE,"영업외수익";#N/A,#N/A,FALSE,"영업외비용";#N/A,#N/A,FALSE,"매출액";#N/A,#N/A,FALSE,"요약손익";#N/A,#N/A,FALSE,"요약대차";#N/A,#N/A,FALSE,"매출채권현황";#N/A,#N/A,FALSE,"매출채권명세"}</definedName>
    <definedName name="____TEL3" hidden="1">{"'tel2'!$B$29:$J$45","'tel2'!$A$5:$G$19","'tel2'!$B$50:$F$57","'tel2'!$B$105:$G$110","'tel2'!$B$63:$H$85","'tel2'!$B$14:$G$18","'tel2'!$B$29:$C$29"}</definedName>
    <definedName name="___17A9_" hidden="1">{#N/A,#N/A,FALSE,"손익표지";#N/A,#N/A,FALSE,"손익계산";#N/A,#N/A,FALSE,"일반관리비";#N/A,#N/A,FALSE,"영업외수익";#N/A,#N/A,FALSE,"영업외비용";#N/A,#N/A,FALSE,"매출액";#N/A,#N/A,FALSE,"요약손익";#N/A,#N/A,FALSE,"요약대차";#N/A,#N/A,FALSE,"매출채권현황";#N/A,#N/A,FALSE,"매출채권명세"}</definedName>
    <definedName name="___23j1_" hidden="1">{#N/A,#N/A,FALSE,"손익표지";#N/A,#N/A,FALSE,"손익계산";#N/A,#N/A,FALSE,"일반관리비";#N/A,#N/A,FALSE,"영업외수익";#N/A,#N/A,FALSE,"영업외비용";#N/A,#N/A,FALSE,"매출액";#N/A,#N/A,FALSE,"요약손익";#N/A,#N/A,FALSE,"요약대차";#N/A,#N/A,FALSE,"매출채권현황";#N/A,#N/A,FALSE,"매출채권명세"}</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TEL3" hidden="1">{"'tel2'!$B$29:$J$45","'tel2'!$A$5:$G$19","'tel2'!$B$50:$F$57","'tel2'!$B$105:$G$110","'tel2'!$B$63:$H$85","'tel2'!$B$14:$G$18","'tel2'!$B$29:$C$29"}</definedName>
    <definedName name="__123Graph_A" hidden="1">[1]목표세부명세!#REF!</definedName>
    <definedName name="__123Graph_B" hidden="1">[1]목표세부명세!#REF!</definedName>
    <definedName name="__17A9_" hidden="1">{#N/A,#N/A,FALSE,"손익표지";#N/A,#N/A,FALSE,"손익계산";#N/A,#N/A,FALSE,"일반관리비";#N/A,#N/A,FALSE,"영업외수익";#N/A,#N/A,FALSE,"영업외비용";#N/A,#N/A,FALSE,"매출액";#N/A,#N/A,FALSE,"요약손익";#N/A,#N/A,FALSE,"요약대차";#N/A,#N/A,FALSE,"매출채권현황";#N/A,#N/A,FALSE,"매출채권명세"}</definedName>
    <definedName name="__23j1_"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TEL3" hidden="1">{"'tel2'!$B$29:$J$45","'tel2'!$A$5:$G$19","'tel2'!$B$50:$F$57","'tel2'!$B$105:$G$110","'tel2'!$B$63:$H$85","'tel2'!$B$14:$G$18","'tel2'!$B$29:$C$29"}</definedName>
    <definedName name="_14A9_" hidden="1">{#N/A,#N/A,FALSE,"손익표지";#N/A,#N/A,FALSE,"손익계산";#N/A,#N/A,FALSE,"일반관리비";#N/A,#N/A,FALSE,"영업외수익";#N/A,#N/A,FALSE,"영업외비용";#N/A,#N/A,FALSE,"매출액";#N/A,#N/A,FALSE,"요약손익";#N/A,#N/A,FALSE,"요약대차";#N/A,#N/A,FALSE,"매출채권현황";#N/A,#N/A,FALSE,"매출채권명세"}</definedName>
    <definedName name="_15A9_" hidden="1">{#N/A,#N/A,FALSE,"손익표지";#N/A,#N/A,FALSE,"손익계산";#N/A,#N/A,FALSE,"일반관리비";#N/A,#N/A,FALSE,"영업외수익";#N/A,#N/A,FALSE,"영업외비용";#N/A,#N/A,FALSE,"매출액";#N/A,#N/A,FALSE,"요약손익";#N/A,#N/A,FALSE,"요약대차";#N/A,#N/A,FALSE,"매출채권현황";#N/A,#N/A,FALSE,"매출채권명세"}</definedName>
    <definedName name="_17A9_" hidden="1">{#N/A,#N/A,FALSE,"손익표지";#N/A,#N/A,FALSE,"손익계산";#N/A,#N/A,FALSE,"일반관리비";#N/A,#N/A,FALSE,"영업외수익";#N/A,#N/A,FALSE,"영업외비용";#N/A,#N/A,FALSE,"매출액";#N/A,#N/A,FALSE,"요약손익";#N/A,#N/A,FALSE,"요약대차";#N/A,#N/A,FALSE,"매출채권현황";#N/A,#N/A,FALSE,"매출채권명세"}</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23j1_" hidden="1">{#N/A,#N/A,FALSE,"손익표지";#N/A,#N/A,FALSE,"손익계산";#N/A,#N/A,FALSE,"일반관리비";#N/A,#N/A,FALSE,"영업외수익";#N/A,#N/A,FALSE,"영업외비용";#N/A,#N/A,FALSE,"매출액";#N/A,#N/A,FALSE,"요약손익";#N/A,#N/A,FALSE,"요약대차";#N/A,#N/A,FALSE,"매출채권현황";#N/A,#N/A,FALSE,"매출채권명세"}</definedName>
    <definedName name="_24A9_" hidden="1">{#N/A,#N/A,FALSE,"손익표지";#N/A,#N/A,FALSE,"손익계산";#N/A,#N/A,FALSE,"일반관리비";#N/A,#N/A,FALSE,"영업외수익";#N/A,#N/A,FALSE,"영업외비용";#N/A,#N/A,FALSE,"매출액";#N/A,#N/A,FALSE,"요약손익";#N/A,#N/A,FALSE,"요약대차";#N/A,#N/A,FALSE,"매출채권현황";#N/A,#N/A,FALSE,"매출채권명세"}</definedName>
    <definedName name="_27j1_" hidden="1">{#N/A,#N/A,FALSE,"손익표지";#N/A,#N/A,FALSE,"손익계산";#N/A,#N/A,FALSE,"일반관리비";#N/A,#N/A,FALSE,"영업외수익";#N/A,#N/A,FALSE,"영업외비용";#N/A,#N/A,FALSE,"매출액";#N/A,#N/A,FALSE,"요약손익";#N/A,#N/A,FALSE,"요약대차";#N/A,#N/A,FALSE,"매출채권현황";#N/A,#N/A,FALSE,"매출채권명세"}</definedName>
    <definedName name="_33j1_" hidden="1">{#N/A,#N/A,FALSE,"손익표지";#N/A,#N/A,FALSE,"손익계산";#N/A,#N/A,FALSE,"일반관리비";#N/A,#N/A,FALSE,"영업외수익";#N/A,#N/A,FALSE,"영업외비용";#N/A,#N/A,FALSE,"매출액";#N/A,#N/A,FALSE,"요약손익";#N/A,#N/A,FALSE,"요약대차";#N/A,#N/A,FALSE,"매출채권현황";#N/A,#N/A,FALSE,"매출채권명세"}</definedName>
    <definedName name="_34j1_" hidden="1">{#N/A,#N/A,FALSE,"손익표지";#N/A,#N/A,FALSE,"손익계산";#N/A,#N/A,FALSE,"일반관리비";#N/A,#N/A,FALSE,"영업외수익";#N/A,#N/A,FALSE,"영업외비용";#N/A,#N/A,FALSE,"매출액";#N/A,#N/A,FALSE,"요약손익";#N/A,#N/A,FALSE,"요약대차";#N/A,#N/A,FALSE,"매출채권현황";#N/A,#N/A,FALSE,"매출채권명세"}</definedName>
    <definedName name="_35A9_" hidden="1">{#N/A,#N/A,FALSE,"손익표지";#N/A,#N/A,FALSE,"손익계산";#N/A,#N/A,FALSE,"일반관리비";#N/A,#N/A,FALSE,"영업외수익";#N/A,#N/A,FALSE,"영업외비용";#N/A,#N/A,FALSE,"매출액";#N/A,#N/A,FALSE,"요약손익";#N/A,#N/A,FALSE,"요약대차";#N/A,#N/A,FALSE,"매출채권현황";#N/A,#N/A,FALSE,"매출채권명세"}</definedName>
    <definedName name="_37A9_" hidden="1">{#N/A,#N/A,FALSE,"손익표지";#N/A,#N/A,FALSE,"손익계산";#N/A,#N/A,FALSE,"일반관리비";#N/A,#N/A,FALSE,"영업외수익";#N/A,#N/A,FALSE,"영업외비용";#N/A,#N/A,FALSE,"매출액";#N/A,#N/A,FALSE,"요약손익";#N/A,#N/A,FALSE,"요약대차";#N/A,#N/A,FALSE,"매출채권현황";#N/A,#N/A,FALSE,"매출채권명세"}</definedName>
    <definedName name="_54j1_" hidden="1">{#N/A,#N/A,FALSE,"손익표지";#N/A,#N/A,FALSE,"손익계산";#N/A,#N/A,FALSE,"일반관리비";#N/A,#N/A,FALSE,"영업외수익";#N/A,#N/A,FALSE,"영업외비용";#N/A,#N/A,FALSE,"매출액";#N/A,#N/A,FALSE,"요약손익";#N/A,#N/A,FALSE,"요약대차";#N/A,#N/A,FALSE,"매출채권현황";#N/A,#N/A,FALSE,"매출채권명세"}</definedName>
    <definedName name="_58j1_" hidden="1">{#N/A,#N/A,FALSE,"손익표지";#N/A,#N/A,FALSE,"손익계산";#N/A,#N/A,FALSE,"일반관리비";#N/A,#N/A,FALSE,"영업외수익";#N/A,#N/A,FALSE,"영업외비용";#N/A,#N/A,FALSE,"매출액";#N/A,#N/A,FALSE,"요약손익";#N/A,#N/A,FALSE,"요약대차";#N/A,#N/A,FALSE,"매출채권현황";#N/A,#N/A,FALSE,"매출채권명세"}</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Dist_Bin" hidden="1">#REF!</definedName>
    <definedName name="_Dist_Values" hidden="1">#REF!</definedName>
    <definedName name="_Fill" hidden="1">#REF!</definedName>
    <definedName name="_xlnm._FilterDatabase" hidden="1">#REF!</definedName>
    <definedName name="_j1" hidden="1">{#N/A,#N/A,FALSE,"손익표지";#N/A,#N/A,FALSE,"손익계산";#N/A,#N/A,FALSE,"일반관리비";#N/A,#N/A,FALSE,"영업외수익";#N/A,#N/A,FALSE,"영업외비용";#N/A,#N/A,FALSE,"매출액";#N/A,#N/A,FALSE,"요약손익";#N/A,#N/A,FALSE,"요약대차";#N/A,#N/A,FALSE,"매출채권현황";#N/A,#N/A,FALSE,"매출채권명세"}</definedName>
    <definedName name="_Key1" hidden="1">[2]설계내역서!#REF!</definedName>
    <definedName name="_Key2" hidden="1">[2]설계내역서!$C$21</definedName>
    <definedName name="_Order1" hidden="1">255</definedName>
    <definedName name="_Order2" hidden="1">255</definedName>
    <definedName name="_Parse_In" hidden="1">#REF!</definedName>
    <definedName name="_Parse_Out" hidden="1">#REF!</definedName>
    <definedName name="_Regression_Int" hidden="1">1</definedName>
    <definedName name="_Sort" hidden="1">[2]설계내역서!$A$21:$S$1630</definedName>
    <definedName name="_TEL3" hidden="1">{"'tel2'!$B$29:$J$45","'tel2'!$A$5:$G$19","'tel2'!$B$50:$F$57","'tel2'!$B$105:$G$110","'tel2'!$B$63:$H$85","'tel2'!$B$14:$G$18","'tel2'!$B$29:$C$29"}</definedName>
    <definedName name="AA" hidden="1">{"'tel2'!$B$29:$J$45","'tel2'!$A$5:$G$19","'tel2'!$B$50:$F$57","'tel2'!$B$105:$G$110","'tel2'!$B$63:$H$85","'tel2'!$B$14:$G$18","'tel2'!$B$29:$C$29"}</definedName>
    <definedName name="aaa" hidden="1">{"'tel2'!$B$29:$J$45","'tel2'!$A$5:$G$19","'tel2'!$B$50:$F$57","'tel2'!$B$105:$G$110","'tel2'!$B$63:$H$85","'tel2'!$B$14:$G$18","'tel2'!$B$29:$C$29"}</definedName>
    <definedName name="aaaa" hidden="1">{#N/A,#N/A,FALSE,"손익표지";#N/A,#N/A,FALSE,"손익계산";#N/A,#N/A,FALSE,"일반관리비";#N/A,#N/A,FALSE,"영업외수익";#N/A,#N/A,FALSE,"영업외비용";#N/A,#N/A,FALSE,"매출액";#N/A,#N/A,FALSE,"요약손익";#N/A,#N/A,FALSE,"요약대차";#N/A,#N/A,FALSE,"매출채권현황";#N/A,#N/A,FALSE,"매출채권명세"}</definedName>
    <definedName name="AAAAA" hidden="1">{#N/A,#N/A,FALSE,"손익표지";#N/A,#N/A,FALSE,"손익계산";#N/A,#N/A,FALSE,"일반관리비";#N/A,#N/A,FALSE,"영업외수익";#N/A,#N/A,FALSE,"영업외비용";#N/A,#N/A,FALSE,"매출액";#N/A,#N/A,FALSE,"요약손익";#N/A,#N/A,FALSE,"요약대차";#N/A,#N/A,FALSE,"매출채권현황";#N/A,#N/A,FALSE,"매출채권명세"}</definedName>
    <definedName name="AAAAAA" hidden="1">{#N/A,#N/A,FALSE,"손익표지";#N/A,#N/A,FALSE,"손익계산";#N/A,#N/A,FALSE,"일반관리비";#N/A,#N/A,FALSE,"영업외수익";#N/A,#N/A,FALSE,"영업외비용";#N/A,#N/A,FALSE,"매출액";#N/A,#N/A,FALSE,"요약손익";#N/A,#N/A,FALSE,"요약대차";#N/A,#N/A,FALSE,"매출채권현황";#N/A,#N/A,FALSE,"매출채권명세"}</definedName>
    <definedName name="AAAAAAAAAFFFFFF" hidden="1">{"'tel2'!$B$29:$J$45","'tel2'!$A$5:$G$19","'tel2'!$B$50:$F$57","'tel2'!$B$105:$G$110","'tel2'!$B$63:$H$85","'tel2'!$B$14:$G$18","'tel2'!$B$29:$C$29"}</definedName>
    <definedName name="AAAAAAAAAFFFFFFFFF" hidden="1">{"'tel2'!$B$29:$J$45","'tel2'!$A$5:$G$19","'tel2'!$B$50:$F$57","'tel2'!$B$105:$G$110","'tel2'!$B$63:$H$85","'tel2'!$B$14:$G$18","'tel2'!$B$29:$C$29"}</definedName>
    <definedName name="AAAAAAAAAFFFFFFFFFF" hidden="1">{"'tel2'!$B$29:$J$45","'tel2'!$A$5:$G$19","'tel2'!$B$50:$F$57","'tel2'!$B$105:$G$110","'tel2'!$B$63:$H$85","'tel2'!$B$14:$G$18","'tel2'!$B$29:$C$29"}</definedName>
    <definedName name="aaaaaaaaafffffffffffffff" hidden="1">{"'tel2'!$B$29:$J$45","'tel2'!$A$5:$G$19","'tel2'!$B$50:$F$57","'tel2'!$B$105:$G$110","'tel2'!$B$63:$H$85","'tel2'!$B$14:$G$18","'tel2'!$B$29:$C$29"}</definedName>
    <definedName name="aaaaaaaaffffffffff" hidden="1">{"'tel2'!$B$29:$J$45","'tel2'!$A$5:$G$19","'tel2'!$B$50:$F$57","'tel2'!$B$105:$G$110","'tel2'!$B$63:$H$85","'tel2'!$B$14:$G$18","'tel2'!$B$29:$C$29"}</definedName>
    <definedName name="AAAAAAAFFFFFF" hidden="1">{"'tel2'!$B$29:$J$45","'tel2'!$A$5:$G$19","'tel2'!$B$50:$F$57","'tel2'!$B$105:$G$110","'tel2'!$B$63:$H$85","'tel2'!$B$14:$G$18","'tel2'!$B$29:$C$29"}</definedName>
    <definedName name="AAAAAAAFFFFFFFFFFFFFFFFFFFFFFFFFFFFFFFF" hidden="1">{"'tel2'!$B$29:$J$45","'tel2'!$A$5:$G$19","'tel2'!$B$50:$F$57","'tel2'!$B$105:$G$110","'tel2'!$B$63:$H$85","'tel2'!$B$14:$G$18","'tel2'!$B$29:$C$29"}</definedName>
    <definedName name="aaaafffffff" hidden="1">{"'tel2'!$B$29:$J$45","'tel2'!$A$5:$G$19","'tel2'!$B$50:$F$57","'tel2'!$B$105:$G$110","'tel2'!$B$63:$H$85","'tel2'!$B$14:$G$18","'tel2'!$B$29:$C$29"}</definedName>
    <definedName name="AAB" hidden="1">{"'tel2'!$B$29:$J$45","'tel2'!$A$5:$G$19","'tel2'!$B$50:$F$57","'tel2'!$B$105:$G$110","'tel2'!$B$63:$H$85","'tel2'!$B$14:$G$18","'tel2'!$B$29:$C$29"}</definedName>
    <definedName name="AASDF" hidden="1">{#N/A,#N/A,FALSE,"손익표지";#N/A,#N/A,FALSE,"손익계산";#N/A,#N/A,FALSE,"일반관리비";#N/A,#N/A,FALSE,"영업외수익";#N/A,#N/A,FALSE,"영업외비용";#N/A,#N/A,FALSE,"매출액";#N/A,#N/A,FALSE,"요약손익";#N/A,#N/A,FALSE,"요약대차";#N/A,#N/A,FALSE,"매출채권현황";#N/A,#N/A,FALSE,"매출채권명세"}</definedName>
    <definedName name="ab" hidden="1">#REF!</definedName>
    <definedName name="ABC" hidden="1">{#N/A,#N/A,FALSE,"손익표지";#N/A,#N/A,FALSE,"손익계산";#N/A,#N/A,FALSE,"일반관리비";#N/A,#N/A,FALSE,"영업외수익";#N/A,#N/A,FALSE,"영업외비용";#N/A,#N/A,FALSE,"매출액";#N/A,#N/A,FALSE,"요약손익";#N/A,#N/A,FALSE,"요약대차";#N/A,#N/A,FALSE,"매출채권현황";#N/A,#N/A,FALSE,"매출채권명세"}</definedName>
    <definedName name="abz자료" hidden="1">{#N/A,#N/A,FALSE,"손익표지";#N/A,#N/A,FALSE,"손익계산";#N/A,#N/A,FALSE,"일반관리비";#N/A,#N/A,FALSE,"영업외수익";#N/A,#N/A,FALSE,"영업외비용";#N/A,#N/A,FALSE,"매출액";#N/A,#N/A,FALSE,"요약손익";#N/A,#N/A,FALSE,"요약대차";#N/A,#N/A,FALSE,"매출채권현황";#N/A,#N/A,FALSE,"매출채권명세"}</definedName>
    <definedName name="AC" hidden="1">{"'tel2'!$B$29:$J$45","'tel2'!$A$5:$G$19","'tel2'!$B$50:$F$57","'tel2'!$B$105:$G$110","'tel2'!$B$63:$H$85","'tel2'!$B$14:$G$18","'tel2'!$B$29:$C$29"}</definedName>
    <definedName name="ADAH243123" hidden="1">{#N/A,#N/A,FALSE,"손익표지";#N/A,#N/A,FALSE,"손익계산";#N/A,#N/A,FALSE,"일반관리비";#N/A,#N/A,FALSE,"영업외수익";#N/A,#N/A,FALSE,"영업외비용";#N/A,#N/A,FALSE,"매출액";#N/A,#N/A,FALSE,"요약손익";#N/A,#N/A,FALSE,"요약대차";#N/A,#N/A,FALSE,"매출채권현황";#N/A,#N/A,FALSE,"매출채권명세"}</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nscount" hidden="1">1</definedName>
    <definedName name="AS2DocOpenMode" hidden="1">"AS2DocumentEdit"</definedName>
    <definedName name="ASDAR13123123" hidden="1">{#N/A,#N/A,FALSE,"손익표지";#N/A,#N/A,FALSE,"손익계산";#N/A,#N/A,FALSE,"일반관리비";#N/A,#N/A,FALSE,"영업외수익";#N/A,#N/A,FALSE,"영업외비용";#N/A,#N/A,FALSE,"매출액";#N/A,#N/A,FALSE,"요약손익";#N/A,#N/A,FALSE,"요약대차";#N/A,#N/A,FALSE,"매출채권현황";#N/A,#N/A,FALSE,"매출채권명세"}</definedName>
    <definedName name="ASDF" hidden="1">{#N/A,#N/A,FALSE,"손익표지";#N/A,#N/A,FALSE,"손익계산";#N/A,#N/A,FALSE,"일반관리비";#N/A,#N/A,FALSE,"영업외수익";#N/A,#N/A,FALSE,"영업외비용";#N/A,#N/A,FALSE,"매출액";#N/A,#N/A,FALSE,"요약손익";#N/A,#N/A,FALSE,"요약대차";#N/A,#N/A,FALSE,"매출채권현황";#N/A,#N/A,FALSE,"매출채권명세"}</definedName>
    <definedName name="ASDFASDF" hidden="1">{#N/A,#N/A,FALSE,"손익표지";#N/A,#N/A,FALSE,"손익계산";#N/A,#N/A,FALSE,"일반관리비";#N/A,#N/A,FALSE,"영업외수익";#N/A,#N/A,FALSE,"영업외비용";#N/A,#N/A,FALSE,"매출액";#N/A,#N/A,FALSE,"요약손익";#N/A,#N/A,FALSE,"요약대차";#N/A,#N/A,FALSE,"매출채권현황";#N/A,#N/A,FALSE,"매출채권명세"}</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FD" hidden="1">{#N/A,#N/A,FALSE,"손익표지";#N/A,#N/A,FALSE,"손익계산";#N/A,#N/A,FALSE,"일반관리비";#N/A,#N/A,FALSE,"영업외수익";#N/A,#N/A,FALSE,"영업외비용";#N/A,#N/A,FALSE,"매출액";#N/A,#N/A,FALSE,"요약손익";#N/A,#N/A,FALSE,"요약대차";#N/A,#N/A,FALSE,"매출채권현황";#N/A,#N/A,FALSE,"매출채권명세"}</definedName>
    <definedName name="AUG_INDEX" hidden="1">{#N/A,#N/A,FALSE,"손익표지";#N/A,#N/A,FALSE,"손익계산";#N/A,#N/A,FALSE,"일반관리비";#N/A,#N/A,FALSE,"영업외수익";#N/A,#N/A,FALSE,"영업외비용";#N/A,#N/A,FALSE,"매출액";#N/A,#N/A,FALSE,"요약손익";#N/A,#N/A,FALSE,"요약대차";#N/A,#N/A,FALSE,"매출채권현황";#N/A,#N/A,FALSE,"매출채권명세"}</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BB" hidden="1">{#N/A,#N/A,FALSE,"손익표지";#N/A,#N/A,FALSE,"손익계산";#N/A,#N/A,FALSE,"일반관리비";#N/A,#N/A,FALSE,"영업외수익";#N/A,#N/A,FALSE,"영업외비용";#N/A,#N/A,FALSE,"매출액";#N/A,#N/A,FALSE,"요약손익";#N/A,#N/A,FALSE,"요약대차";#N/A,#N/A,FALSE,"매출채권현황";#N/A,#N/A,FALSE,"매출채권명세"}</definedName>
    <definedName name="bbc" hidden="1">{#N/A,#N/A,FALSE,"손익표지";#N/A,#N/A,FALSE,"손익계산";#N/A,#N/A,FALSE,"일반관리비";#N/A,#N/A,FALSE,"영업외수익";#N/A,#N/A,FALSE,"영업외비용";#N/A,#N/A,FALSE,"매출액";#N/A,#N/A,FALSE,"요약손익";#N/A,#N/A,FALSE,"요약대차";#N/A,#N/A,FALSE,"매출채권현황";#N/A,#N/A,FALSE,"매출채권명세"}</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cc" hidden="1">{#N/A,#N/A,FALSE,"손익표지";#N/A,#N/A,FALSE,"손익계산";#N/A,#N/A,FALSE,"일반관리비";#N/A,#N/A,FALSE,"영업외수익";#N/A,#N/A,FALSE,"영업외비용";#N/A,#N/A,FALSE,"매출액";#N/A,#N/A,FALSE,"요약손익";#N/A,#N/A,FALSE,"요약대차";#N/A,#N/A,FALSE,"매출채권현황";#N/A,#N/A,FALSE,"매출채권명세"}</definedName>
    <definedName name="ccc"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kdl" hidden="1">{#N/A,#N/A,FALSE,"손익표지";#N/A,#N/A,FALSE,"손익계산";#N/A,#N/A,FALSE,"일반관리비";#N/A,#N/A,FALSE,"영업외수익";#N/A,#N/A,FALSE,"영업외비용";#N/A,#N/A,FALSE,"매출액";#N/A,#N/A,FALSE,"요약손익";#N/A,#N/A,FALSE,"요약대차";#N/A,#N/A,FALSE,"매출채권현황";#N/A,#N/A,FALSE,"매출채권명세"}</definedName>
    <definedName name="dd" hidden="1">{#N/A,#N/A,FALSE,"손익표지";#N/A,#N/A,FALSE,"손익계산";#N/A,#N/A,FALSE,"일반관리비";#N/A,#N/A,FALSE,"영업외수익";#N/A,#N/A,FALSE,"영업외비용";#N/A,#N/A,FALSE,"매출액";#N/A,#N/A,FALSE,"요약손익";#N/A,#N/A,FALSE,"요약대차";#N/A,#N/A,FALSE,"매출채권현황";#N/A,#N/A,FALSE,"매출채권명세"}</definedName>
    <definedName name="DF"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F" hidden="1">{#N/A,#N/A,FALSE,"손익표지";#N/A,#N/A,FALSE,"손익계산";#N/A,#N/A,FALSE,"일반관리비";#N/A,#N/A,FALSE,"영업외수익";#N/A,#N/A,FALSE,"영업외비용";#N/A,#N/A,FALSE,"매출액";#N/A,#N/A,FALSE,"요약손익";#N/A,#N/A,FALSE,"요약대차";#N/A,#N/A,FALSE,"매출채권현황";#N/A,#N/A,FALSE,"매출채권명세"}</definedName>
    <definedName name="dfsdfasdf" hidden="1">{"'tel2'!$B$29:$J$45","'tel2'!$A$5:$G$19","'tel2'!$B$50:$F$57","'tel2'!$B$105:$G$110","'tel2'!$B$63:$H$85","'tel2'!$B$14:$G$18","'tel2'!$B$29:$C$29"}</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IAO" hidden="1">{#N/A,#N/A,FALSE,"손익표지";#N/A,#N/A,FALSE,"손익계산";#N/A,#N/A,FALSE,"일반관리비";#N/A,#N/A,FALSE,"영업외수익";#N/A,#N/A,FALSE,"영업외비용";#N/A,#N/A,FALSE,"매출액";#N/A,#N/A,FALSE,"요약손익";#N/A,#N/A,FALSE,"요약대차";#N/A,#N/A,FALSE,"매출채권현황";#N/A,#N/A,FALSE,"매출채권명세"}</definedName>
    <definedName name="dlfma" hidden="1">{#N/A,#N/A,FALSE,"손익표지";#N/A,#N/A,FALSE,"손익계산";#N/A,#N/A,FALSE,"일반관리비";#N/A,#N/A,FALSE,"영업외수익";#N/A,#N/A,FALSE,"영업외비용";#N/A,#N/A,FALSE,"매출액";#N/A,#N/A,FALSE,"요약손익";#N/A,#N/A,FALSE,"요약대차";#N/A,#N/A,FALSE,"매출채권현황";#N/A,#N/A,FALSE,"매출채권명세"}</definedName>
    <definedName name="DOM" hidden="1">{"'tel2'!$B$29:$J$45","'tel2'!$A$5:$G$19","'tel2'!$B$50:$F$57","'tel2'!$B$105:$G$110","'tel2'!$B$63:$H$85","'tel2'!$B$14:$G$18","'tel2'!$B$29:$C$29"}</definedName>
    <definedName name="ds"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e"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e" hidden="1">{#N/A,#N/A,FALSE,"손익표지";#N/A,#N/A,FALSE,"손익계산";#N/A,#N/A,FALSE,"일반관리비";#N/A,#N/A,FALSE,"영업외수익";#N/A,#N/A,FALSE,"영업외비용";#N/A,#N/A,FALSE,"매출액";#N/A,#N/A,FALSE,"요약손익";#N/A,#N/A,FALSE,"요약대차";#N/A,#N/A,FALSE,"매출채권현황";#N/A,#N/A,FALSE,"매출채권명세"}</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FALSE,"손익표지";#N/A,#N/A,FALSE,"손익계산";#N/A,#N/A,FALSE,"일반관리비";#N/A,#N/A,FALSE,"영업외수익";#N/A,#N/A,FALSE,"영업외비용";#N/A,#N/A,FALSE,"매출액";#N/A,#N/A,FALSE,"요약손익";#N/A,#N/A,FALSE,"요약대차";#N/A,#N/A,FALSE,"매출채권현황";#N/A,#N/A,FALSE,"매출채권명세"}</definedName>
    <definedName name="eqeqweqeq" hidden="1">{#N/A,#N/A,FALSE,"손익표지";#N/A,#N/A,FALSE,"손익계산";#N/A,#N/A,FALSE,"일반관리비";#N/A,#N/A,FALSE,"영업외수익";#N/A,#N/A,FALSE,"영업외비용";#N/A,#N/A,FALSE,"매출액";#N/A,#N/A,FALSE,"요약손익";#N/A,#N/A,FALSE,"요약대차";#N/A,#N/A,FALSE,"매출채권현황";#N/A,#N/A,FALSE,"매출채권명세"}</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F" hidden="1">{#N/A,#N/A,FALSE,"손익표지";#N/A,#N/A,FALSE,"손익계산";#N/A,#N/A,FALSE,"일반관리비";#N/A,#N/A,FALSE,"영업외수익";#N/A,#N/A,FALSE,"영업외비용";#N/A,#N/A,FALSE,"매출액";#N/A,#N/A,FALSE,"요약손익";#N/A,#N/A,FALSE,"요약대차";#N/A,#N/A,FALSE,"매출채권현황";#N/A,#N/A,FALSE,"매출채권명세"}</definedName>
    <definedName name="F23FR" hidden="1">{#N/A,#N/A,FALSE,"손익표지";#N/A,#N/A,FALSE,"손익계산";#N/A,#N/A,FALSE,"일반관리비";#N/A,#N/A,FALSE,"영업외수익";#N/A,#N/A,FALSE,"영업외비용";#N/A,#N/A,FALSE,"매출액";#N/A,#N/A,FALSE,"요약손익";#N/A,#N/A,FALSE,"요약대차";#N/A,#N/A,FALSE,"매출채권현황";#N/A,#N/A,FALSE,"매출채권명세"}</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d" hidden="1">{#N/A,#N/A,FALSE,"손익표지";#N/A,#N/A,FALSE,"손익계산";#N/A,#N/A,FALSE,"일반관리비";#N/A,#N/A,FALSE,"영업외수익";#N/A,#N/A,FALSE,"영업외비용";#N/A,#N/A,FALSE,"매출액";#N/A,#N/A,FALSE,"요약손익";#N/A,#N/A,FALSE,"요약대차";#N/A,#N/A,FALSE,"매출채권현황";#N/A,#N/A,FALSE,"매출채권명세"}</definedName>
    <definedName name="fdfd" hidden="1">{#N/A,#N/A,FALSE,"손익표지";#N/A,#N/A,FALSE,"손익계산";#N/A,#N/A,FALSE,"일반관리비";#N/A,#N/A,FALSE,"영업외수익";#N/A,#N/A,FALSE,"영업외비용";#N/A,#N/A,FALSE,"매출액";#N/A,#N/A,FALSE,"요약손익";#N/A,#N/A,FALSE,"요약대차";#N/A,#N/A,FALSE,"매출채권현황";#N/A,#N/A,FALSE,"매출채권명세"}</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sf" hidden="1">{"'tel2'!$B$29:$J$45","'tel2'!$A$5:$G$19","'tel2'!$B$50:$F$57","'tel2'!$B$105:$G$110","'tel2'!$B$63:$H$85","'tel2'!$B$14:$G$18","'tel2'!$B$29:$C$29"}</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SDFSDFSD" hidden="1">'[3]980731'!#REF!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OLD">OFFSET([4]GOLD!$N$10,0,0,COUNTA([4]GOLD!$N:$N)-1,1)</definedName>
    <definedName name="h"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h" hidden="1">{#N/A,#N/A,FALSE,"손익표지";#N/A,#N/A,FALSE,"손익계산";#N/A,#N/A,FALSE,"일반관리비";#N/A,#N/A,FALSE,"영업외수익";#N/A,#N/A,FALSE,"영업외비용";#N/A,#N/A,FALSE,"매출액";#N/A,#N/A,FALSE,"요약손익";#N/A,#N/A,FALSE,"요약대차";#N/A,#N/A,FALSE,"매출채권현황";#N/A,#N/A,FALSE,"매출채권명세"}</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TML_CodePage" hidden="1">949</definedName>
    <definedName name="HTML_Control" hidden="1">{"'tel2'!$B$29:$J$45","'tel2'!$A$5:$G$19","'tel2'!$B$50:$F$57","'tel2'!$B$105:$G$110","'tel2'!$B$63:$H$85","'tel2'!$B$14:$G$18","'tel2'!$B$29:$C$29"}</definedName>
    <definedName name="HTML_Description" hidden="1">""</definedName>
    <definedName name="HTML_Email" hidden="1">""</definedName>
    <definedName name="HTML_Header" hidden="1">"tel2"</definedName>
    <definedName name="HTML_LastUpdate" hidden="1">"00-02-06"</definedName>
    <definedName name="HTML_LineAfter" hidden="1">FALSE</definedName>
    <definedName name="HTML_LineBefore" hidden="1">FALSE</definedName>
    <definedName name="HTML_Name" hidden="1">"asiana"</definedName>
    <definedName name="HTML_OBDlg2" hidden="1">TRUE</definedName>
    <definedName name="HTML_OBDlg4" hidden="1">TRUE</definedName>
    <definedName name="HTML_OS" hidden="1">0</definedName>
    <definedName name="HTML_PathFile" hidden="1">"C:\My Documents\newyear8.htm"</definedName>
    <definedName name="HTML_Title" hidden="1">"설연휴 실적8"</definedName>
    <definedName name="HTML1_1" hidden="1">"[허가공문.xls]국내선!$A$1:$H$20"</definedName>
    <definedName name="HTML1_10" hidden="1">""</definedName>
    <definedName name="HTML1_11" hidden="1">1</definedName>
    <definedName name="HTML1_12" hidden="1">"C:\My Documents\LEE.htm"</definedName>
    <definedName name="HTML1_2" hidden="1">1</definedName>
    <definedName name="HTML1_3" hidden="1">"허가공문.xls"</definedName>
    <definedName name="HTML1_4" hidden="1">"국내선"</definedName>
    <definedName name="HTML1_5" hidden="1">""</definedName>
    <definedName name="HTML1_6" hidden="1">-4146</definedName>
    <definedName name="HTML1_7" hidden="1">-4146</definedName>
    <definedName name="HTML1_8" hidden="1">"98-05-13"</definedName>
    <definedName name="HTML1_9" hidden="1">"이상국"</definedName>
    <definedName name="HTML2_1" hidden="1">"[허가공문.xls]운항변경1!$A$23:$L$43"</definedName>
    <definedName name="HTML2_10" hidden="1">""</definedName>
    <definedName name="HTML2_11" hidden="1">1</definedName>
    <definedName name="HTML2_12" hidden="1">"C:\My Documents\허가서.htm"</definedName>
    <definedName name="HTML2_2" hidden="1">1</definedName>
    <definedName name="HTML2_3" hidden="1">"허가공문.xls"</definedName>
    <definedName name="HTML2_4" hidden="1">"운항변경1"</definedName>
    <definedName name="HTML2_5" hidden="1">""</definedName>
    <definedName name="HTML2_6" hidden="1">-4146</definedName>
    <definedName name="HTML2_7" hidden="1">-4146</definedName>
    <definedName name="HTML2_8" hidden="1">"98-05-27"</definedName>
    <definedName name="HTML2_9" hidden="1">"이상국"</definedName>
    <definedName name="HTML3_1" hidden="1">"[OZSTATUS.xls]OPERATING!$A$1:$AD$46"</definedName>
    <definedName name="HTML3_10" hidden="1">"simjong@shinbiro.com"</definedName>
    <definedName name="HTML3_11" hidden="1">1</definedName>
    <definedName name="HTML3_12" hidden="1">"J:\ME\D\00\OZSTATUS.htm"</definedName>
    <definedName name="HTML3_2" hidden="1">1</definedName>
    <definedName name="HTML3_3" hidden="1">"운영 항공기 현황"</definedName>
    <definedName name="HTML3_4" hidden="1">"운영 항공기 현황"</definedName>
    <definedName name="HTML3_5" hidden="1">""</definedName>
    <definedName name="HTML3_6" hidden="1">-4146</definedName>
    <definedName name="HTML3_7" hidden="1">-4146</definedName>
    <definedName name="HTML3_8" hidden="1">"98/11/03"</definedName>
    <definedName name="HTML3_9" hidden="1">"심종석"</definedName>
    <definedName name="HTML4_1" hidden="1">"[OZSTATUS.xls]OPERATING!$A$2:$AD$45"</definedName>
    <definedName name="HTML4_10" hidden="1">""</definedName>
    <definedName name="HTML4_11" hidden="1">1</definedName>
    <definedName name="HTML4_12" hidden="1">"J:\ME\D\00\OZSTATUS.htm"</definedName>
    <definedName name="HTML4_2" hidden="1">1</definedName>
    <definedName name="HTML4_3" hidden="1">"운영 항공기 현황"</definedName>
    <definedName name="HTML4_4" hidden="1">"운영 항공기 현황"</definedName>
    <definedName name="HTML4_5" hidden="1">""</definedName>
    <definedName name="HTML4_6" hidden="1">1</definedName>
    <definedName name="HTML4_7" hidden="1">-4146</definedName>
    <definedName name="HTML4_8" hidden="1">"98/12/18"</definedName>
    <definedName name="HTML4_9" hidden="1">"심종석"</definedName>
    <definedName name="HTML5_1" hidden="1">"[OZSTATUS.xls]OPERATING!$A$2:$AD$47"</definedName>
    <definedName name="HTML5_10" hidden="1">"simjong@shinbiro.com"</definedName>
    <definedName name="HTML5_11" hidden="1">1</definedName>
    <definedName name="HTML5_12" hidden="1">"J:\ME\D\00\OZSTATUS.htm"</definedName>
    <definedName name="HTML5_2" hidden="1">1</definedName>
    <definedName name="HTML5_3" hidden="1">"운영항공기 현황"</definedName>
    <definedName name="HTML5_4" hidden="1">"운영항공기 현황"</definedName>
    <definedName name="HTML5_5" hidden="1">""</definedName>
    <definedName name="HTML5_6" hidden="1">-4146</definedName>
    <definedName name="HTML5_7" hidden="1">-4146</definedName>
    <definedName name="HTML5_8" hidden="1">"99/04/21"</definedName>
    <definedName name="HTML5_9" hidden="1">"심종석"</definedName>
    <definedName name="HTML6_1" hidden="1">"[OZSTATUS.xls]OPERATING!$A$2:$AD$48"</definedName>
    <definedName name="HTML6_10" hidden="1">"simjong@shinbiro.com"</definedName>
    <definedName name="HTML6_11" hidden="1">1</definedName>
    <definedName name="HTML6_12" hidden="1">"J:\ME\D\00\OZSTATUS.htm"</definedName>
    <definedName name="HTML6_2" hidden="1">1</definedName>
    <definedName name="HTML6_3" hidden="1">"항공기 운영 현황"</definedName>
    <definedName name="HTML6_4" hidden="1">"항공기 운영 현황"</definedName>
    <definedName name="HTML6_5" hidden="1">""</definedName>
    <definedName name="HTML6_6" hidden="1">-4146</definedName>
    <definedName name="HTML6_7" hidden="1">-4146</definedName>
    <definedName name="HTML6_8" hidden="1">"99/07/15"</definedName>
    <definedName name="HTML6_9" hidden="1">"심종석"</definedName>
    <definedName name="HTML7_1" hidden="1">"[OZSTATUS.xls]OPERATING!$A$1:$AD$48"</definedName>
    <definedName name="HTML7_10" hidden="1">"simjong@shinbiro.com"</definedName>
    <definedName name="HTML7_11" hidden="1">1</definedName>
    <definedName name="HTML7_12" hidden="1">"J:\ME\D\00\OZSTATUS.htm"</definedName>
    <definedName name="HTML7_2" hidden="1">1</definedName>
    <definedName name="HTML7_3" hidden="1">"운영 항공기 현황"</definedName>
    <definedName name="HTML7_4" hidden="1">"운영 항공기 현황"</definedName>
    <definedName name="HTML7_5" hidden="1">""</definedName>
    <definedName name="HTML7_6" hidden="1">-4146</definedName>
    <definedName name="HTML7_7" hidden="1">-4146</definedName>
    <definedName name="HTML7_8" hidden="1">"99/07/15"</definedName>
    <definedName name="HTML7_9" hidden="1">"심종석"</definedName>
    <definedName name="HTML8_1" hidden="1">"[OZSTATUS.xls]OPERATING!$A$2:$AD$49"</definedName>
    <definedName name="HTML8_10" hidden="1">"simjong@shinbiro.co.kr"</definedName>
    <definedName name="HTML8_11" hidden="1">1</definedName>
    <definedName name="HTML8_12" hidden="1">"J:\ME\D\00\OZSTATUS.htm"</definedName>
    <definedName name="HTML8_2" hidden="1">1</definedName>
    <definedName name="HTML8_3" hidden="1">"운영항공기 현황"</definedName>
    <definedName name="HTML8_4" hidden="1">"운영항공기현황"</definedName>
    <definedName name="HTML8_5" hidden="1">""</definedName>
    <definedName name="HTML8_6" hidden="1">-4146</definedName>
    <definedName name="HTML8_7" hidden="1">-4146</definedName>
    <definedName name="HTML8_8" hidden="1">"99/08/09"</definedName>
    <definedName name="HTML8_9" hidden="1">"심종석"</definedName>
    <definedName name="HTML9_1" hidden="1">"[OZSTATUS.xls]OPERATING!$A$2:$AD$50"</definedName>
    <definedName name="HTML9_10" hidden="1">"simjong@asiana.co.kr"</definedName>
    <definedName name="HTML9_11" hidden="1">1</definedName>
    <definedName name="HTML9_12" hidden="1">"J:\ME\D\00\OZSTATUS.htm"</definedName>
    <definedName name="HTML9_2" hidden="1">1</definedName>
    <definedName name="HTML9_3" hidden="1">"운영 항공기 현황"</definedName>
    <definedName name="HTML9_4" hidden="1">"운영 항공기 현황"</definedName>
    <definedName name="HTML9_5" hidden="1">""</definedName>
    <definedName name="HTML9_6" hidden="1">-4146</definedName>
    <definedName name="HTML9_7" hidden="1">-4146</definedName>
    <definedName name="HTML9_8" hidden="1">"99/08/17"</definedName>
    <definedName name="HTML9_9" hidden="1">"심종석"</definedName>
    <definedName name="HTMLCount" hidden="1">2</definedName>
    <definedName name="j"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K"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JK" hidden="1">{#N/A,#N/A,FALSE,"손익표지";#N/A,#N/A,FALSE,"손익계산";#N/A,#N/A,FALSE,"일반관리비";#N/A,#N/A,FALSE,"영업외수익";#N/A,#N/A,FALSE,"영업외비용";#N/A,#N/A,FALSE,"매출액";#N/A,#N/A,FALSE,"요약손익";#N/A,#N/A,FALSE,"요약대차";#N/A,#N/A,FALSE,"매출채권현황";#N/A,#N/A,FALSE,"매출채권명세"}</definedName>
    <definedName name="KK"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l" hidden="1">{#N/A,#N/A,FALSE,"손익표지";#N/A,#N/A,FALSE,"손익계산";#N/A,#N/A,FALSE,"일반관리비";#N/A,#N/A,FALSE,"영업외수익";#N/A,#N/A,FALSE,"영업외비용";#N/A,#N/A,FALSE,"매출액";#N/A,#N/A,FALSE,"요약손익";#N/A,#N/A,FALSE,"요약대차";#N/A,#N/A,FALSE,"매출채권현황";#N/A,#N/A,FALSE,"매출채권명세"}</definedName>
    <definedName name="lkhjk" hidden="1">{#N/A,#N/A,FALSE,"손익표지";#N/A,#N/A,FALSE,"손익계산";#N/A,#N/A,FALSE,"일반관리비";#N/A,#N/A,FALSE,"영업외수익";#N/A,#N/A,FALSE,"영업외비용";#N/A,#N/A,FALSE,"매출액";#N/A,#N/A,FALSE,"요약손익";#N/A,#N/A,FALSE,"요약대차";#N/A,#N/A,FALSE,"매출채권현황";#N/A,#N/A,FALSE,"매출채권명세"}</definedName>
    <definedName name="ll" hidden="1">{#N/A,#N/A,FALSE,"손익표지";#N/A,#N/A,FALSE,"손익계산";#N/A,#N/A,FALSE,"일반관리비";#N/A,#N/A,FALSE,"영업외수익";#N/A,#N/A,FALSE,"영업외비용";#N/A,#N/A,FALSE,"매출액";#N/A,#N/A,FALSE,"요약손익";#N/A,#N/A,FALSE,"요약대차";#N/A,#N/A,FALSE,"매출채권현황";#N/A,#N/A,FALSE,"매출채권명세"}</definedName>
    <definedName name="LY" hidden="1">#REF!</definedName>
    <definedName name="mm" hidden="1">{#N/A,#N/A,FALSE,"손익표지";#N/A,#N/A,FALSE,"손익계산";#N/A,#N/A,FALSE,"일반관리비";#N/A,#N/A,FALSE,"영업외수익";#N/A,#N/A,FALSE,"영업외비용";#N/A,#N/A,FALSE,"매출액";#N/A,#N/A,FALSE,"요약손익";#N/A,#N/A,FALSE,"요약대차";#N/A,#N/A,FALSE,"매출채권현황";#N/A,#N/A,FALSE,"매출채권명세"}</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 hidden="1">{"'tel2'!$B$29:$J$45","'tel2'!$A$5:$G$19","'tel2'!$B$50:$F$57","'tel2'!$B$105:$G$110","'tel2'!$B$63:$H$85","'tel2'!$B$14:$G$18","'tel2'!$B$29:$C$29"}</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k" hidden="1">#REF!</definedName>
    <definedName name="p" hidden="1">{#N/A,#N/A,FALSE,"손익표지";#N/A,#N/A,FALSE,"손익계산";#N/A,#N/A,FALSE,"일반관리비";#N/A,#N/A,FALSE,"영업외수익";#N/A,#N/A,FALSE,"영업외비용";#N/A,#N/A,FALSE,"매출액";#N/A,#N/A,FALSE,"요약손익";#N/A,#N/A,FALSE,"요약대차";#N/A,#N/A,FALSE,"매출채권현황";#N/A,#N/A,FALSE,"매출채권명세"}</definedName>
    <definedName name="PP" hidden="1">{#N/A,#N/A,FALSE,"손익표지";#N/A,#N/A,FALSE,"손익계산";#N/A,#N/A,FALSE,"일반관리비";#N/A,#N/A,FALSE,"영업외수익";#N/A,#N/A,FALSE,"영업외비용";#N/A,#N/A,FALSE,"매출액";#N/A,#N/A,FALSE,"요약손익";#N/A,#N/A,FALSE,"요약대차";#N/A,#N/A,FALSE,"매출채권현황";#N/A,#N/A,FALSE,"매출채권명세"}</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ldyd"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손익표지";#N/A,#N/A,FALSE,"손익계산";#N/A,#N/A,FALSE,"일반관리비";#N/A,#N/A,FALSE,"영업외수익";#N/A,#N/A,FALSE,"영업외비용";#N/A,#N/A,FALSE,"매출액";#N/A,#N/A,FALSE,"요약손익";#N/A,#N/A,FALSE,"요약대차";#N/A,#N/A,FALSE,"매출채권현황";#N/A,#N/A,FALSE,"매출채권명세"}</definedName>
    <definedName name="qqq" hidden="1">{#N/A,#N/A,FALSE,"손익표지";#N/A,#N/A,FALSE,"손익계산";#N/A,#N/A,FALSE,"일반관리비";#N/A,#N/A,FALSE,"영업외수익";#N/A,#N/A,FALSE,"영업외비용";#N/A,#N/A,FALSE,"매출액";#N/A,#N/A,FALSE,"요약손익";#N/A,#N/A,FALSE,"요약대차";#N/A,#N/A,FALSE,"매출채권현황";#N/A,#N/A,FALSE,"매출채권명세"}</definedName>
    <definedName name="QQQQQ" hidden="1">{#N/A,#N/A,FALSE,"손익표지";#N/A,#N/A,FALSE,"손익계산";#N/A,#N/A,FALSE,"일반관리비";#N/A,#N/A,FALSE,"영업외수익";#N/A,#N/A,FALSE,"영업외비용";#N/A,#N/A,FALSE,"매출액";#N/A,#N/A,FALSE,"요약손익";#N/A,#N/A,FALSE,"요약대차";#N/A,#N/A,FALSE,"매출채권현황";#N/A,#N/A,FALSE,"매출채권명세"}</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w" hidden="1">{#N/A,#N/A,FALSE,"손익표지";#N/A,#N/A,FALSE,"손익계산";#N/A,#N/A,FALSE,"일반관리비";#N/A,#N/A,FALSE,"영업외수익";#N/A,#N/A,FALSE,"영업외비용";#N/A,#N/A,FALSE,"매출액";#N/A,#N/A,FALSE,"요약손익";#N/A,#N/A,FALSE,"요약대차";#N/A,#N/A,FALSE,"매출채권현황";#N/A,#N/A,FALSE,"매출채권명세"}</definedName>
    <definedName name="qwe" hidden="1">{#N/A,#N/A,FALSE,"손익표지";#N/A,#N/A,FALSE,"손익계산";#N/A,#N/A,FALSE,"일반관리비";#N/A,#N/A,FALSE,"영업외수익";#N/A,#N/A,FALSE,"영업외비용";#N/A,#N/A,FALSE,"매출액";#N/A,#N/A,FALSE,"요약손익";#N/A,#N/A,FALSE,"요약대차";#N/A,#N/A,FALSE,"매출채권현황";#N/A,#N/A,FALSE,"매출채권명세"}</definedName>
    <definedName name="re" hidden="1">{#N/A,#N/A,FALSE,"손익표지";#N/A,#N/A,FALSE,"손익계산";#N/A,#N/A,FALSE,"일반관리비";#N/A,#N/A,FALSE,"영업외수익";#N/A,#N/A,FALSE,"영업외비용";#N/A,#N/A,FALSE,"매출액";#N/A,#N/A,FALSE,"요약손익";#N/A,#N/A,FALSE,"요약대차";#N/A,#N/A,FALSE,"매출채권현황";#N/A,#N/A,FALSE,"매출채권명세"}</definedName>
    <definedName name="RENN" hidden="1">{"'7-2지역별'!$A$1:$R$44"}</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k" hidden="1">{#N/A,#N/A,FALSE,"총판매현황-5월 "}</definedName>
    <definedName name="rrr"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k" hidden="1">{#N/A,#N/A,FALSE,"손익표지";#N/A,#N/A,FALSE,"손익계산";#N/A,#N/A,FALSE,"일반관리비";#N/A,#N/A,FALSE,"영업외수익";#N/A,#N/A,FALSE,"영업외비용";#N/A,#N/A,FALSE,"매출액";#N/A,#N/A,FALSE,"요약손익";#N/A,#N/A,FALSE,"요약대차";#N/A,#N/A,FALSE,"매출채권현황";#N/A,#N/A,FALSE,"매출채권명세"}</definedName>
    <definedName name="SP">OFFSET([4]S!$N$10,0,0,COUNTA([4]S!$N:$N)-1,1)</definedName>
    <definedName name="t" hidden="1">{#N/A,#N/A,FALSE,"손익표지";#N/A,#N/A,FALSE,"손익계산";#N/A,#N/A,FALSE,"일반관리비";#N/A,#N/A,FALSE,"영업외수익";#N/A,#N/A,FALSE,"영업외비용";#N/A,#N/A,FALSE,"매출액";#N/A,#N/A,FALSE,"요약손익";#N/A,#N/A,FALSE,"요약대차";#N/A,#N/A,FALSE,"매출채권현황";#N/A,#N/A,FALSE,"매출채권명세"}</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xtRefCopyRangeCount" hidden="1">17</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OPO" hidden="1">#REF!</definedName>
    <definedName name="tr" hidden="1">{#N/A,#N/A,FALSE,"손익표지";#N/A,#N/A,FALSE,"손익계산";#N/A,#N/A,FALSE,"일반관리비";#N/A,#N/A,FALSE,"영업외수익";#N/A,#N/A,FALSE,"영업외비용";#N/A,#N/A,FALSE,"매출액";#N/A,#N/A,FALSE,"요약손익";#N/A,#N/A,FALSE,"요약대차";#N/A,#N/A,FALSE,"매출채권현황";#N/A,#N/A,FALSE,"매출채권명세"}</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VIX">OFFSET([4]VIX!$N$10,0,0,COUNTA([4]VIX!$N:$N)-1,1)</definedName>
    <definedName name="vv"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RN"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판매현황." hidden="1">{#N/A,#N/A,FALSE,"총판매현황-5월 "}</definedName>
    <definedName name="ww" hidden="1">{#N/A,#N/A,FALSE,"손익표지";#N/A,#N/A,FALSE,"손익계산";#N/A,#N/A,FALSE,"일반관리비";#N/A,#N/A,FALSE,"영업외수익";#N/A,#N/A,FALSE,"영업외비용";#N/A,#N/A,FALSE,"매출액";#N/A,#N/A,FALSE,"요약손익";#N/A,#N/A,FALSE,"요약대차";#N/A,#N/A,FALSE,"매출채권현황";#N/A,#N/A,FALSE,"매출채권명세"}</definedName>
    <definedName name="WWW" hidden="1">{#N/A,#N/A,FALSE,"손익표지";#N/A,#N/A,FALSE,"손익계산";#N/A,#N/A,FALSE,"일반관리비";#N/A,#N/A,FALSE,"영업외수익";#N/A,#N/A,FALSE,"영업외비용";#N/A,#N/A,FALSE,"매출액";#N/A,#N/A,FALSE,"요약손익";#N/A,#N/A,FALSE,"요약대차";#N/A,#N/A,FALSE,"매출채권현황";#N/A,#N/A,FALSE,"매출채권명세"}</definedName>
    <definedName name="WWWW" hidden="1">{#N/A,#N/A,FALSE,"손익표지";#N/A,#N/A,FALSE,"손익계산";#N/A,#N/A,FALSE,"일반관리비";#N/A,#N/A,FALSE,"영업외수익";#N/A,#N/A,FALSE,"영업외비용";#N/A,#N/A,FALSE,"매출액";#N/A,#N/A,FALSE,"요약손익";#N/A,#N/A,FALSE,"요약대차";#N/A,#N/A,FALSE,"매출채권현황";#N/A,#N/A,FALSE,"매출채권명세"}</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REF_COLUMN_2" hidden="1">#REF!</definedName>
    <definedName name="XREF_COLUMN_3" hidden="1">#REF!</definedName>
    <definedName name="XREF_COLUMN_4" hidden="1">#REF!</definedName>
    <definedName name="XRefActiveRow" hidden="1">#REF!</definedName>
    <definedName name="XRefColumnsCount" hidden="1">5</definedName>
    <definedName name="XRefCopy10Row" hidden="1">#REF!</definedName>
    <definedName name="XRefCopy11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Row" hidden="1">#REF!</definedName>
    <definedName name="XRefCopy9Row" hidden="1">#REF!</definedName>
    <definedName name="XRefCopyRangeCount" hidden="1">11</definedName>
    <definedName name="XRefPaste1Row"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7Row" hidden="1">#REF!</definedName>
    <definedName name="XRefPaste8Row" hidden="1">#REF!</definedName>
    <definedName name="XRefPasteRangeCount" hidden="1">8</definedName>
    <definedName name="xx" hidden="1">{#N/A,#N/A,FALSE,"손익표지";#N/A,#N/A,FALSE,"손익계산";#N/A,#N/A,FALSE,"일반관리비";#N/A,#N/A,FALSE,"영업외수익";#N/A,#N/A,FALSE,"영업외비용";#N/A,#N/A,FALSE,"매출액";#N/A,#N/A,FALSE,"요약손익";#N/A,#N/A,FALSE,"요약대차";#N/A,#N/A,FALSE,"매출채권현황";#N/A,#N/A,FALSE,"매출채권명세"}</definedName>
    <definedName name="XXX" hidden="1">{#N/A,#N/A,FALSE,"손익표지";#N/A,#N/A,FALSE,"손익계산";#N/A,#N/A,FALSE,"일반관리비";#N/A,#N/A,FALSE,"영업외수익";#N/A,#N/A,FALSE,"영업외비용";#N/A,#N/A,FALSE,"매출액";#N/A,#N/A,FALSE,"요약손익";#N/A,#N/A,FALSE,"요약대차";#N/A,#N/A,FALSE,"매출채권현황";#N/A,#N/A,FALSE,"매출채권명세"}</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z" hidden="1">{#N/A,#N/A,FALSE,"손익표지";#N/A,#N/A,FALSE,"손익계산";#N/A,#N/A,FALSE,"일반관리비";#N/A,#N/A,FALSE,"영업외수익";#N/A,#N/A,FALSE,"영업외비용";#N/A,#N/A,FALSE,"매출액";#N/A,#N/A,FALSE,"요약손익";#N/A,#N/A,FALSE,"요약대차";#N/A,#N/A,FALSE,"매출채권현황";#N/A,#N/A,FALSE,"매출채권명세"}</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ㄱ"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ㅈㄷㅂ"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ㄺㄹㄷ"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가" hidden="1">{#N/A,#N/A,FALSE,"손익표지";#N/A,#N/A,FALSE,"손익계산";#N/A,#N/A,FALSE,"일반관리비";#N/A,#N/A,FALSE,"영업외수익";#N/A,#N/A,FALSE,"영업외비용";#N/A,#N/A,FALSE,"매출액";#N/A,#N/A,FALSE,"요약손익";#N/A,#N/A,FALSE,"요약대차";#N/A,#N/A,FALSE,"매출채권현황";#N/A,#N/A,FALSE,"매출채권명세"}</definedName>
    <definedName name="가나" hidden="1">{#N/A,#N/A,FALSE,"손익표지";#N/A,#N/A,FALSE,"손익계산";#N/A,#N/A,FALSE,"일반관리비";#N/A,#N/A,FALSE,"영업외수익";#N/A,#N/A,FALSE,"영업외비용";#N/A,#N/A,FALSE,"매출액";#N/A,#N/A,FALSE,"요약손익";#N/A,#N/A,FALSE,"요약대차";#N/A,#N/A,FALSE,"매출채권현황";#N/A,#N/A,FALSE,"매출채권명세"}</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산"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선안" hidden="1">{#N/A,#N/A,FALSE,"손익표지";#N/A,#N/A,FALSE,"손익계산";#N/A,#N/A,FALSE,"일반관리비";#N/A,#N/A,FALSE,"영업외수익";#N/A,#N/A,FALSE,"영업외비용";#N/A,#N/A,FALSE,"매출액";#N/A,#N/A,FALSE,"요약손익";#N/A,#N/A,FALSE,"요약대차";#N/A,#N/A,FALSE,"매출채권현황";#N/A,#N/A,FALSE,"매출채권명세"}</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경상" hidden="1">{#N/A,#N/A,FALSE,"손익표지";#N/A,#N/A,FALSE,"손익계산";#N/A,#N/A,FALSE,"일반관리비";#N/A,#N/A,FALSE,"영업외수익";#N/A,#N/A,FALSE,"영업외비용";#N/A,#N/A,FALSE,"매출액";#N/A,#N/A,FALSE,"요약손익";#N/A,#N/A,FALSE,"요약대차";#N/A,#N/A,FALSE,"매출채권현황";#N/A,#N/A,FALSE,"매출채권명세"}</definedName>
    <definedName name="경상이익1" hidden="1">{#N/A,#N/A,FALSE,"손익표지";#N/A,#N/A,FALSE,"손익계산";#N/A,#N/A,FALSE,"일반관리비";#N/A,#N/A,FALSE,"영업외수익";#N/A,#N/A,FALSE,"영업외비용";#N/A,#N/A,FALSE,"매출액";#N/A,#N/A,FALSE,"요약손익";#N/A,#N/A,FALSE,"요약대차";#N/A,#N/A,FALSE,"매출채권현황";#N/A,#N/A,FALSE,"매출채권명세"}</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양" hidden="1">{#N/A,#N/A,FALSE,"손익표지";#N/A,#N/A,FALSE,"손익계산";#N/A,#N/A,FALSE,"일반관리비";#N/A,#N/A,FALSE,"영업외수익";#N/A,#N/A,FALSE,"영업외비용";#N/A,#N/A,FALSE,"매출액";#N/A,#N/A,FALSE,"요약손익";#N/A,#N/A,FALSE,"요약대차";#N/A,#N/A,FALSE,"매출채권현황";#N/A,#N/A,FALSE,"매출채권명세"}</definedName>
    <definedName name="경영" hidden="1">{#N/A,#N/A,FALSE,"손익표지";#N/A,#N/A,FALSE,"손익계산";#N/A,#N/A,FALSE,"일반관리비";#N/A,#N/A,FALSE,"영업외수익";#N/A,#N/A,FALSE,"영업외비용";#N/A,#N/A,FALSE,"매출액";#N/A,#N/A,FALSE,"요약손익";#N/A,#N/A,FALSE,"요약대차";#N/A,#N/A,FALSE,"매출채권현황";#N/A,#N/A,FALSE,"매출채권명세"}</definedName>
    <definedName name="경영1" hidden="1">{#N/A,#N/A,FALSE,"손익표지";#N/A,#N/A,FALSE,"손익계산";#N/A,#N/A,FALSE,"일반관리비";#N/A,#N/A,FALSE,"영업외수익";#N/A,#N/A,FALSE,"영업외비용";#N/A,#N/A,FALSE,"매출액";#N/A,#N/A,FALSE,"요약손익";#N/A,#N/A,FALSE,"요약대차";#N/A,#N/A,FALSE,"매출채권현황";#N/A,#N/A,FALSE,"매출채권명세"}</definedName>
    <definedName name="경영123" hidden="1">{#N/A,#N/A,FALSE,"손익표지";#N/A,#N/A,FALSE,"손익계산";#N/A,#N/A,FALSE,"일반관리비";#N/A,#N/A,FALSE,"영업외수익";#N/A,#N/A,FALSE,"영업외비용";#N/A,#N/A,FALSE,"매출액";#N/A,#N/A,FALSE,"요약손익";#N/A,#N/A,FALSE,"요약대차";#N/A,#N/A,FALSE,"매출채권현황";#N/A,#N/A,FALSE,"매출채권명세"}</definedName>
    <definedName name="경영2" hidden="1">{#N/A,#N/A,FALSE,"손익표지";#N/A,#N/A,FALSE,"손익계산";#N/A,#N/A,FALSE,"일반관리비";#N/A,#N/A,FALSE,"영업외수익";#N/A,#N/A,FALSE,"영업외비용";#N/A,#N/A,FALSE,"매출액";#N/A,#N/A,FALSE,"요약손익";#N/A,#N/A,FALSE,"요약대차";#N/A,#N/A,FALSE,"매출채권현황";#N/A,#N/A,FALSE,"매출채권명세"}</definedName>
    <definedName name="경영3" hidden="1">{#N/A,#N/A,FALSE,"손익표지";#N/A,#N/A,FALSE,"손익계산";#N/A,#N/A,FALSE,"일반관리비";#N/A,#N/A,FALSE,"영업외수익";#N/A,#N/A,FALSE,"영업외비용";#N/A,#N/A,FALSE,"매출액";#N/A,#N/A,FALSE,"요약손익";#N/A,#N/A,FALSE,"요약대차";#N/A,#N/A,FALSE,"매출채권현황";#N/A,#N/A,FALSE,"매출채권명세"}</definedName>
    <definedName name="경영5" hidden="1">{#N/A,#N/A,FALSE,"손익표지";#N/A,#N/A,FALSE,"손익계산";#N/A,#N/A,FALSE,"일반관리비";#N/A,#N/A,FALSE,"영업외수익";#N/A,#N/A,FALSE,"영업외비용";#N/A,#N/A,FALSE,"매출액";#N/A,#N/A,FALSE,"요약손익";#N/A,#N/A,FALSE,"요약대차";#N/A,#N/A,FALSE,"매출채권현황";#N/A,#N/A,FALSE,"매출채권명세"}</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제" hidden="1">{#N/A,#N/A,FALSE,"손익표지";#N/A,#N/A,FALSE,"손익계산";#N/A,#N/A,FALSE,"일반관리비";#N/A,#N/A,FALSE,"영업외수익";#N/A,#N/A,FALSE,"영업외비용";#N/A,#N/A,FALSE,"매출액";#N/A,#N/A,FALSE,"요약손익";#N/A,#N/A,FALSE,"요약대차";#N/A,#N/A,FALSE,"매출채권현황";#N/A,#N/A,FALSE,"매출채권명세"}</definedName>
    <definedName name="고만" hidden="1">#REF!</definedName>
    <definedName name="고만OE" hidden="1">#REF!</definedName>
    <definedName name="고만해" hidden="1">#REF!</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도체설문" hidden="1">#REF!</definedName>
    <definedName name="공정"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광주공장" hidden="1">#REF!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구" hidden="1">{#N/A,#N/A,FALSE,"손익표지";#N/A,#N/A,FALSE,"손익계산";#N/A,#N/A,FALSE,"일반관리비";#N/A,#N/A,FALSE,"영업외수익";#N/A,#N/A,FALSE,"영업외비용";#N/A,#N/A,FALSE,"매출액";#N/A,#N/A,FALSE,"요약손익";#N/A,#N/A,FALSE,"요약대차";#N/A,#N/A,FALSE,"매출채권현황";#N/A,#N/A,FALSE,"매출채권명세"}</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 hidden="1">{#N/A,#N/A,FALSE,"손익표지";#N/A,#N/A,FALSE,"손익계산";#N/A,#N/A,FALSE,"일반관리비";#N/A,#N/A,FALSE,"영업외수익";#N/A,#N/A,FALSE,"영업외비용";#N/A,#N/A,FALSE,"매출액";#N/A,#N/A,FALSE,"요약손익";#N/A,#N/A,FALSE,"요약대차";#N/A,#N/A,FALSE,"매출채권현황";#N/A,#N/A,FALSE,"매출채권명세"}</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손익3"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국내선" hidden="1">{"'tel2'!$B$29:$J$45","'tel2'!$A$5:$G$19","'tel2'!$B$50:$F$57","'tel2'!$B$105:$G$110","'tel2'!$B$63:$H$85","'tel2'!$B$14:$G$18","'tel2'!$B$29:$C$29"}</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채">OFFSET([4]국채!$N$10,0,0,COUNTA([4]국채!$N:$N)-1,1)</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기"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이" hidden="1">{#N/A,#N/A,FALSE,"손익표지";#N/A,#N/A,FALSE,"손익계산";#N/A,#N/A,FALSE,"일반관리비";#N/A,#N/A,FALSE,"영업외수익";#N/A,#N/A,FALSE,"영업외비용";#N/A,#N/A,FALSE,"매출액";#N/A,#N/A,FALSE,"요약손익";#N/A,#N/A,FALSE,"요약대차";#N/A,#N/A,FALSE,"매출채권현황";#N/A,#N/A,FALSE,"매출채권명세"}</definedName>
    <definedName name="기준"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긴" hidden="1">{#N/A,#N/A,FALSE,"손익표지";#N/A,#N/A,FALSE,"손익계산";#N/A,#N/A,FALSE,"일반관리비";#N/A,#N/A,FALSE,"영업외수익";#N/A,#N/A,FALSE,"영업외비용";#N/A,#N/A,FALSE,"매출액";#N/A,#N/A,FALSE,"요약손익";#N/A,#N/A,FALSE,"요약대차";#N/A,#N/A,FALSE,"매출채권현황";#N/A,#N/A,FALSE,"매출채권명세"}</definedName>
    <definedName name="길이" hidden="1">{#N/A,#N/A,FALSE,"손익표지";#N/A,#N/A,FALSE,"손익계산";#N/A,#N/A,FALSE,"일반관리비";#N/A,#N/A,FALSE,"영업외수익";#N/A,#N/A,FALSE,"영업외비용";#N/A,#N/A,FALSE,"매출액";#N/A,#N/A,FALSE,"요약손익";#N/A,#N/A,FALSE,"요약대차";#N/A,#N/A,FALSE,"매출채권현황";#N/A,#N/A,FALSE,"매출채권명세"}</definedName>
    <definedName name="길인" hidden="1">{#N/A,#N/A,FALSE,"손익표지";#N/A,#N/A,FALSE,"손익계산";#N/A,#N/A,FALSE,"일반관리비";#N/A,#N/A,FALSE,"영업외수익";#N/A,#N/A,FALSE,"영업외비용";#N/A,#N/A,FALSE,"매출액";#N/A,#N/A,FALSE,"요약손익";#N/A,#N/A,FALSE,"요약대차";#N/A,#N/A,FALSE,"매출채권현황";#N/A,#N/A,FALSE,"매출채권명세"}</definedName>
    <definedName name="김" hidden="1">{#N/A,#N/A,FALSE,"손익표지";#N/A,#N/A,FALSE,"손익계산";#N/A,#N/A,FALSE,"일반관리비";#N/A,#N/A,FALSE,"영업외수익";#N/A,#N/A,FALSE,"영업외비용";#N/A,#N/A,FALSE,"매출액";#N/A,#N/A,FALSE,"요약손익";#N/A,#N/A,FALSE,"요약대차";#N/A,#N/A,FALSE,"매출채권현황";#N/A,#N/A,FALSE,"매출채권명세"}</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종혁" hidden="1">{#N/A,#N/A,FALSE,"총판매현황-5월 "}</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손익표지";#N/A,#N/A,FALSE,"손익계산";#N/A,#N/A,FALSE,"일반관리비";#N/A,#N/A,FALSE,"영업외수익";#N/A,#N/A,FALSE,"영업외비용";#N/A,#N/A,FALSE,"매출액";#N/A,#N/A,FALSE,"요약손익";#N/A,#N/A,FALSE,"요약대차";#N/A,#N/A,FALSE,"매출채권현황";#N/A,#N/A,FALSE,"매출채권명세"}</definedName>
    <definedName name="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ㄺㅈㄹ"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나" hidden="1">{#N/A,#N/A,FALSE,"손익표지";#N/A,#N/A,FALSE,"손익계산";#N/A,#N/A,FALSE,"일반관리비";#N/A,#N/A,FALSE,"영업외수익";#N/A,#N/A,FALSE,"영업외비용";#N/A,#N/A,FALSE,"매출액";#N/A,#N/A,FALSE,"요약손익";#N/A,#N/A,FALSE,"요약대차";#N/A,#N/A,FALSE,"매출채권현황";#N/A,#N/A,FALSE,"매출채권명세"}</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스닥">OFFSET([4]나스닥!$N$10,0,0,COUNTA([4]나스닥!$N:$N)-1,1)</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너" hidden="1">{#N/A,#N/A,FALSE,"손익표지";#N/A,#N/A,FALSE,"손익계산";#N/A,#N/A,FALSE,"일반관리비";#N/A,#N/A,FALSE,"영업외수익";#N/A,#N/A,FALSE,"영업외비용";#N/A,#N/A,FALSE,"매출액";#N/A,#N/A,FALSE,"요약손익";#N/A,#N/A,FALSE,"요약대차";#N/A,#N/A,FALSE,"매출채권현황";#N/A,#N/A,FALSE,"매출채권명세"}</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노" hidden="1">{#N/A,#N/A,FALSE,"손익표지";#N/A,#N/A,FALSE,"손익계산";#N/A,#N/A,FALSE,"일반관리비";#N/A,#N/A,FALSE,"영업외수익";#N/A,#N/A,FALSE,"영업외비용";#N/A,#N/A,FALSE,"매출액";#N/A,#N/A,FALSE,"요약손익";#N/A,#N/A,FALSE,"요약대차";#N/A,#N/A,FALSE,"매출채권현황";#N/A,#N/A,FALSE,"매출채권명세"}</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선별" hidden="1">{#N/A,#N/A,FALSE,"총판매현황-5월 "}</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ㄷ"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다라" hidden="1">{#N/A,#N/A,FALSE,"손익표지";#N/A,#N/A,FALSE,"손익계산";#N/A,#N/A,FALSE,"일반관리비";#N/A,#N/A,FALSE,"영업외수익";#N/A,#N/A,FALSE,"영업외비용";#N/A,#N/A,FALSE,"매출액";#N/A,#N/A,FALSE,"요약손익";#N/A,#N/A,FALSE,"요약대차";#N/A,#N/A,FALSE,"매출채권현황";#N/A,#N/A,FALSE,"매출채권명세"}</definedName>
    <definedName name="다우존스">OFFSET([4]다우존스!$N$10,0,0,COUNTA([4]다우존스!$N:$N)-1,1)</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인덱스">OFFSET([4]달러인덱스!$N$9,1,0,COUNTA([4]달러인덱스!$N:$N)-1,1)</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조" hidden="1">{#N/A,#N/A,FALSE,"손익표지";#N/A,#N/A,FALSE,"손익계산";#N/A,#N/A,FALSE,"일반관리비";#N/A,#N/A,FALSE,"영업외수익";#N/A,#N/A,FALSE,"영업외비용";#N/A,#N/A,FALSE,"매출액";#N/A,#N/A,FALSE,"요약손익";#N/A,#N/A,FALSE,"요약대차";#N/A,#N/A,FALSE,"매출채권현황";#N/A,#N/A,FALSE,"매출채권명세"}</definedName>
    <definedName name="대차" hidden="1">{#N/A,#N/A,FALSE,"손익표지";#N/A,#N/A,FALSE,"손익계산";#N/A,#N/A,FALSE,"일반관리비";#N/A,#N/A,FALSE,"영업외수익";#N/A,#N/A,FALSE,"영업외비용";#N/A,#N/A,FALSE,"매출액";#N/A,#N/A,FALSE,"요약손익";#N/A,#N/A,FALSE,"요약대차";#N/A,#N/A,FALSE,"매출채권현황";#N/A,#N/A,FALSE,"매출채권명세"}</definedName>
    <definedName name="대차1" hidden="1">{#N/A,#N/A,FALSE,"손익표지";#N/A,#N/A,FALSE,"손익계산";#N/A,#N/A,FALSE,"일반관리비";#N/A,#N/A,FALSE,"영업외수익";#N/A,#N/A,FALSE,"영업외비용";#N/A,#N/A,FALSE,"매출액";#N/A,#N/A,FALSE,"요약손익";#N/A,#N/A,FALSE,"요약대차";#N/A,#N/A,FALSE,"매출채권현황";#N/A,#N/A,FALSE,"매출채권명세"}</definedName>
    <definedName name="대차대조" hidden="1">{#N/A,#N/A,FALSE,"손익표지";#N/A,#N/A,FALSE,"손익계산";#N/A,#N/A,FALSE,"일반관리비";#N/A,#N/A,FALSE,"영업외수익";#N/A,#N/A,FALSE,"영업외비용";#N/A,#N/A,FALSE,"매출액";#N/A,#N/A,FALSE,"요약손익";#N/A,#N/A,FALSE,"요약대차";#N/A,#N/A,FALSE,"매출채권현황";#N/A,#N/A,FALSE,"매출채권명세"}</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돈다123" hidden="1">{#N/A,#N/A,FALSE,"손익표지";#N/A,#N/A,FALSE,"손익계산";#N/A,#N/A,FALSE,"일반관리비";#N/A,#N/A,FALSE,"영업외수익";#N/A,#N/A,FALSE,"영업외비용";#N/A,#N/A,FALSE,"매출액";#N/A,#N/A,FALSE,"요약손익";#N/A,#N/A,FALSE,"요약대차";#N/A,#N/A,FALSE,"매출채권현황";#N/A,#N/A,FALSE,"매출채권명세"}</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ㄹ" hidden="1">{#N/A,#N/A,FALSE,"손익표지";#N/A,#N/A,FALSE,"손익계산";#N/A,#N/A,FALSE,"일반관리비";#N/A,#N/A,FALSE,"영업외수익";#N/A,#N/A,FALSE,"영업외비용";#N/A,#N/A,FALSE,"매출액";#N/A,#N/A,FALSE,"요약손익";#N/A,#N/A,FALSE,"요약대차";#N/A,#N/A,FALSE,"매출채권현황";#N/A,#N/A,FALSE,"매출채권명세"}</definedName>
    <definedName name="ㄹ2332" hidden="1">{#N/A,#N/A,FALSE,"손익표지";#N/A,#N/A,FALSE,"손익계산";#N/A,#N/A,FALSE,"일반관리비";#N/A,#N/A,FALSE,"영업외수익";#N/A,#N/A,FALSE,"영업외비용";#N/A,#N/A,FALSE,"매출액";#N/A,#N/A,FALSE,"요약손익";#N/A,#N/A,FALSE,"요약대차";#N/A,#N/A,FALSE,"매출채권현황";#N/A,#N/A,FALSE,"매출채권명세"}</definedName>
    <definedName name="ㄹ23ㄹㄹ"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ㄹ"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라" hidden="1">{#N/A,#N/A,FALSE,"손익표지";#N/A,#N/A,FALSE,"손익계산";#N/A,#N/A,FALSE,"일반관리비";#N/A,#N/A,FALSE,"영업외수익";#N/A,#N/A,FALSE,"영업외비용";#N/A,#N/A,FALSE,"매출액";#N/A,#N/A,FALSE,"요약손익";#N/A,#N/A,FALSE,"요약대차";#N/A,#N/A,FALSE,"매출채권현황";#N/A,#N/A,FALSE,"매출채권명세"}</definedName>
    <definedName name="러셀">OFFSET([4]러셀!$N$10,0,0,COUNTA([4]러셀!$N:$N)-1,1)</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련금" hidden="1">{#N/A,#N/A,FALSE,"손익표지";#N/A,#N/A,FALSE,"손익계산";#N/A,#N/A,FALSE,"일반관리비";#N/A,#N/A,FALSE,"영업외수익";#N/A,#N/A,FALSE,"영업외비용";#N/A,#N/A,FALSE,"매출액";#N/A,#N/A,FALSE,"요약손익";#N/A,#N/A,FALSE,"요약대차";#N/A,#N/A,FALSE,"매출채권현황";#N/A,#N/A,FALSE,"매출채권명세"}</definedName>
    <definedName name="로" hidden="1">{#N/A,#N/A,FALSE,"손익표지";#N/A,#N/A,FALSE,"손익계산";#N/A,#N/A,FALSE,"일반관리비";#N/A,#N/A,FALSE,"영업외수익";#N/A,#N/A,FALSE,"영업외비용";#N/A,#N/A,FALSE,"매출액";#N/A,#N/A,FALSE,"요약손익";#N/A,#N/A,FALSE,"요약대차";#N/A,#N/A,FALSE,"매출채권현황";#N/A,#N/A,FALSE,"매출채권명세"}</definedName>
    <definedName name="리" hidden="1">{#N/A,#N/A,FALSE,"손익표지";#N/A,#N/A,FALSE,"손익계산";#N/A,#N/A,FALSE,"일반관리비";#N/A,#N/A,FALSE,"영업외수익";#N/A,#N/A,FALSE,"영업외비용";#N/A,#N/A,FALSE,"매출액";#N/A,#N/A,FALSE,"요약손익";#N/A,#N/A,FALSE,"요약대차";#N/A,#N/A,FALSE,"매출채권현황";#N/A,#N/A,FALSE,"매출채권명세"}</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비" hidden="1">#REF!</definedName>
    <definedName name="리비아" hidden="1">#REF!</definedName>
    <definedName name="리비아아" hidden="1">#REF!</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ㅀ"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ㄴㅇ"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ㅁㄹㅇㄴㅁㄴㅇ" hidden="1">{#N/A,#N/A,FALSE,"손익표지";#N/A,#N/A,FALSE,"손익계산";#N/A,#N/A,FALSE,"일반관리비";#N/A,#N/A,FALSE,"영업외수익";#N/A,#N/A,FALSE,"영업외비용";#N/A,#N/A,FALSE,"매출액";#N/A,#N/A,FALSE,"요약손익";#N/A,#N/A,FALSE,"요약대차";#N/A,#N/A,FALSE,"매출채권현황";#N/A,#N/A,FALSE,"매출채권명세"}</definedName>
    <definedName name="ㅁㅁ"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ㄹㄹㄹㄹㄹㄹㄹㄹㄹ" hidden="1">{"'tel2'!$B$29:$J$45","'tel2'!$A$5:$G$19","'tel2'!$B$50:$F$57","'tel2'!$B$105:$G$110","'tel2'!$B$63:$H$85","'tel2'!$B$14:$G$18","'tel2'!$B$29:$C$29"}</definedName>
    <definedName name="ㅁㅁㅁㅁㅁㅁㄹㄹㄹㄹㄹㄹㄹㄹㄹㄹ" hidden="1">#N/A</definedName>
    <definedName name="ㅁㅁㅁㅁㅁㅁㄹㄹㄹㄹㄹㄹㄹㄹㄹㅛㅛㅛㅛㅛㅛㅛㅛㅛㅛㅛㅛㅛㅛㅛㅛ" hidden="1">{"'tel2'!$B$29:$J$45","'tel2'!$A$5:$G$19","'tel2'!$B$50:$F$57","'tel2'!$B$105:$G$110","'tel2'!$B$63:$H$85","'tel2'!$B$14:$G$18","'tel2'!$B$29:$C$29"}</definedName>
    <definedName name="ㅁㅁㅁㅁㅁㅁㅁㄹㄹㄹㄹㄹ" hidden="1">{"'tel2'!$B$29:$J$45","'tel2'!$A$5:$G$19","'tel2'!$B$50:$F$57","'tel2'!$B$105:$G$110","'tel2'!$B$63:$H$85","'tel2'!$B$14:$G$18","'tel2'!$B$29:$C$29"}</definedName>
    <definedName name="ㅁㅁㅁㅁㅁㅁㅁㄹㄹㄹㄹㄹㄹㄹㄹㄹㄹ" hidden="1">{"'tel2'!$B$29:$J$45","'tel2'!$A$5:$G$19","'tel2'!$B$50:$F$57","'tel2'!$B$105:$G$110","'tel2'!$B$63:$H$85","'tel2'!$B$14:$G$18","'tel2'!$B$29:$C$29"}</definedName>
    <definedName name="ㅁㅁㅁㅁㅁㅁㅁㅁㄹㄹㄹㄹㄹㄹ" hidden="1">{"'tel2'!$B$29:$J$45","'tel2'!$A$5:$G$19","'tel2'!$B$50:$F$57","'tel2'!$B$105:$G$110","'tel2'!$B$63:$H$85","'tel2'!$B$14:$G$18","'tel2'!$B$29:$C$29"}</definedName>
    <definedName name="ㅁㅁㅁㅁㅁㅁㅁㅁㄹㄹㄹㄹㄹㄹㄹ" hidden="1">{"'tel2'!$B$29:$J$45","'tel2'!$A$5:$G$19","'tel2'!$B$50:$F$57","'tel2'!$B$105:$G$110","'tel2'!$B$63:$H$85","'tel2'!$B$14:$G$18","'tel2'!$B$29:$C$29"}</definedName>
    <definedName name="ㅁㅁㅁㅁㅁㅁㅁㅁㄹㄹㄹㄹㄹㄹㄹㄹ" hidden="1">{"'tel2'!$B$29:$J$45","'tel2'!$A$5:$G$19","'tel2'!$B$50:$F$57","'tel2'!$B$105:$G$110","'tel2'!$B$63:$H$85","'tel2'!$B$14:$G$18","'tel2'!$B$29:$C$29"}</definedName>
    <definedName name="ㅁㅁㅁㅁㅁㅁㅁㅁㄹㄹㄹㄹㄹㄹㄹㄹㄹ" hidden="1">{"'tel2'!$B$29:$J$45","'tel2'!$A$5:$G$19","'tel2'!$B$50:$F$57","'tel2'!$B$105:$G$110","'tel2'!$B$63:$H$85","'tel2'!$B$14:$G$18","'tel2'!$B$29:$C$29"}</definedName>
    <definedName name="ㅁㅁㅁㅁㅁㅁㅁㅁㄹㄹㄹㄹㄹㄹㄹㄹㄹㄹ" hidden="1">{"'tel2'!$B$29:$J$45","'tel2'!$A$5:$G$19","'tel2'!$B$50:$F$57","'tel2'!$B$105:$G$110","'tel2'!$B$63:$H$85","'tel2'!$B$14:$G$18","'tel2'!$B$29:$C$29"}</definedName>
    <definedName name="ㅁㅁㅁㅁㅁㅁㅁㅁㄹㄹㄹㄹㄹㄹㄹㄹㄹㄹㄹㄹㄹㄹ" hidden="1">{"'tel2'!$B$29:$J$45","'tel2'!$A$5:$G$19","'tel2'!$B$50:$F$57","'tel2'!$B$105:$G$110","'tel2'!$B$63:$H$85","'tel2'!$B$14:$G$18","'tel2'!$B$29:$C$29"}</definedName>
    <definedName name="ㅁㅁㅁㅁㅁㅁㅁㅁㄹㄹㄹㄹㄹㄹㄹㄹㄹㄹㄻㅁㅁㅁㅁㅁㅁㅁㅁㅁㅁㅁㅁㅁㅁㅁㅁㅁㅁㅁㅁㅁㅁㅁㅁㅁㅁㅁㅁㅁㅁㅁㅁㅁㅁㅁㅁㅁㅁㅁㅁㅁㅁㅁ" hidden="1">#REF!</definedName>
    <definedName name="ㅁㅁㅁㅁㅁㅁㅁㅁㅁㄹㄹㄹㄹㄹㄹㄹㄹㄹ" hidden="1">{"'tel2'!$B$29:$J$45","'tel2'!$A$5:$G$19","'tel2'!$B$50:$F$57","'tel2'!$B$105:$G$110","'tel2'!$B$63:$H$85","'tel2'!$B$14:$G$18","'tel2'!$B$29:$C$29"}</definedName>
    <definedName name="ㅁㅁㅁㅁㅁㅁㅁㅁㅁㄹㄹㄹㄹㄹㄹㄹㄹㄹㄹㄹㄹㄹ" hidden="1">{"'tel2'!$B$29:$J$45","'tel2'!$A$5:$G$19","'tel2'!$B$50:$F$57","'tel2'!$B$105:$G$110","'tel2'!$B$63:$H$85","'tel2'!$B$14:$G$18","'tel2'!$B$29:$C$29"}</definedName>
    <definedName name="ㅁㅁㅁㅁㅁㅁㅁㅁㅁㄹㄹㄹㄹㄹㄹㄹㄹㄹㄹㄹㄹㄹㄹ" hidden="1">{"'tel2'!$B$29:$J$45","'tel2'!$A$5:$G$19","'tel2'!$B$50:$F$57","'tel2'!$B$105:$G$110","'tel2'!$B$63:$H$85","'tel2'!$B$14:$G$18","'tel2'!$B$29:$C$29"}</definedName>
    <definedName name="ㅁㅁㅁㅁㅁㅁㅁㅁㅁㄹㄹㄹㄹㄹㄹㄹㄹㄹㄹㄹㄹㄹㄹㄹ" hidden="1">{"'tel2'!$B$29:$J$45","'tel2'!$A$5:$G$19","'tel2'!$B$50:$F$57","'tel2'!$B$105:$G$110","'tel2'!$B$63:$H$85","'tel2'!$B$14:$G$18","'tel2'!$B$29:$C$29"}</definedName>
    <definedName name="ㅁㅁㅁㅁㅁㅁㅁㅁㅁㄹㄹㄹㄹㄹㄹㄹㄹㄹㄹㄹㄹㄹㄹㄹㄹㄹㄹㄹㄹㄹㄻㅁㅁㅁㅁㅁㅁㅁㅁㅁㅁㅁㅁㅁㅁㅁ" hidden="1">{"'tel2'!$B$29:$J$45","'tel2'!$A$5:$G$19","'tel2'!$B$50:$F$57","'tel2'!$B$105:$G$110","'tel2'!$B$63:$H$85","'tel2'!$B$14:$G$18","'tel2'!$B$29:$C$29"}</definedName>
    <definedName name="ㅁㅁㅁㅁㅁㅁㅁㅁㅁㅁㄹㄹㄹㄹㄹㄹㄹㄹㄹ" hidden="1">{"'tel2'!$B$29:$J$45","'tel2'!$A$5:$G$19","'tel2'!$B$50:$F$57","'tel2'!$B$105:$G$110","'tel2'!$B$63:$H$85","'tel2'!$B$14:$G$18","'tel2'!$B$29:$C$29"}</definedName>
    <definedName name="ㅁㅁㅁㅁㅁㅁㅁㅁㅁㅁㄹㄹㄹㄹㄹㄹㄹㄹㄹㄹㄹ" hidden="1">{"'tel2'!$B$29:$J$45","'tel2'!$A$5:$G$19","'tel2'!$B$50:$F$57","'tel2'!$B$105:$G$110","'tel2'!$B$63:$H$85","'tel2'!$B$14:$G$18","'tel2'!$B$29:$C$29"}</definedName>
    <definedName name="ㅁㅁㅁㅁㅁㅁㅁㅁㅁㅁㄹㄹㄹㄹㄹㄹㄹㄹㄹㄹㄹㄹㄹㄹ" hidden="1">{"'tel2'!$B$29:$J$45","'tel2'!$A$5:$G$19","'tel2'!$B$50:$F$57","'tel2'!$B$105:$G$110","'tel2'!$B$63:$H$85","'tel2'!$B$14:$G$18","'tel2'!$B$29:$C$29"}</definedName>
    <definedName name="ㅁㅁㅁㅁㅁㅁㅁㅁㅁㅁㄹㄹㄹㄹㄹㄹㄹㄹㄹㄹㄹㄹㄹㄹㄹㄹㄹ" hidden="1">{"'tel2'!$B$29:$J$45","'tel2'!$A$5:$G$19","'tel2'!$B$50:$F$57","'tel2'!$B$105:$G$110","'tel2'!$B$63:$H$85","'tel2'!$B$14:$G$18","'tel2'!$B$29:$C$29"}</definedName>
    <definedName name="ㅁㅁㅁㅁㅁㅁㅁㅁㅁㅁㄹㄹㄹㄹㄹㄹㄹㄹㄹㄹㄹㄹㄹㄹㄹㄹㄹㄹㄹㄹㄹㄹㄹ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ㅁㅁㅁㅁㄹㄹㄹㄹㄹㄹㄹㄹㄹㄹㄹㄹㄹㄹㄹㄹㄹㄹ" hidden="1">{"'tel2'!$B$29:$J$45","'tel2'!$A$5:$G$19","'tel2'!$B$50:$F$57","'tel2'!$B$105:$G$110","'tel2'!$B$63:$H$85","'tel2'!$B$14:$G$18","'tel2'!$B$29:$C$29"}</definedName>
    <definedName name="ㅁㅁㅁㅁㅁㅁㅁㅁㅁㅁㅁㄹㄹㄹㄹㄹㄹㄹㄹㄹㄹㄹㄹㄹㄹㄹㄹㄹㄹㄹㄹㄹㄹㄹㄹㄹㄹㄹㄹㄹㄹㄹㄹㄹㄹㄹㄹㄹㄹㄹㄹㄹㄹㄹㄹ" hidden="1">{"'tel2'!$B$29:$J$45","'tel2'!$A$5:$G$19","'tel2'!$B$50:$F$57","'tel2'!$B$105:$G$110","'tel2'!$B$63:$H$85","'tel2'!$B$14:$G$18","'tel2'!$B$29:$C$29"}</definedName>
    <definedName name="ㅁㅁㅁㅁㅁㅁㅁㅁㅁㅁㅁㅁㅁㄹㄹㄹㄹㄹㄹㄹㄹㄹㄹㄹㄹㄹㄹㄹㄹㄹㄹㄹㄹ" hidden="1">{"'tel2'!$B$29:$J$45","'tel2'!$A$5:$G$19","'tel2'!$B$50:$F$57","'tel2'!$B$105:$G$110","'tel2'!$B$63:$H$85","'tel2'!$B$14:$G$18","'tel2'!$B$29:$C$29"}</definedName>
    <definedName name="ㅁㅁㅁㅁㅁㅁㅁㅁㅁㅁㅁㅁㅁㅁㄹㄹㄹㄹㄹㄹㄹㄹㄹㄹㄹㄹ" hidden="1">{"'tel2'!$B$29:$J$45","'tel2'!$A$5:$G$19","'tel2'!$B$50:$F$57","'tel2'!$B$105:$G$110","'tel2'!$B$63:$H$85","'tel2'!$B$14:$G$18","'tel2'!$B$29:$C$29"}</definedName>
    <definedName name="ㅁㅁㅁㅁㅁㅁㅁㅁㅁㅁㅁㅁㅁㅁㄹㄹㄹㄹㄹㄹㄹㄹㄹㄹㄹㄹㄹㄹㄹㄹㄹㄹㄹㄹㄹㄹㄹㄹㄹ" hidden="1">[2]설계내역서!$A$21:$S$1630</definedName>
    <definedName name="ㅁㅁㅁㅁㅁㅁㅁㅁㅁㅁㅁㅁㅁㅁㄹㄹㄹㄹㄹㄹㄹㄹㄹㄹㄹㄹㄹㄹㄹㄹㄹㄹㄹㄹㄹㄹㄻㅁㅁㅁㅁㅁㅁㅁㅁㅁㅁㅁㅁㅁㅁㅁㅁㅁㅁㅁㅁㅁㅁㅁㅁㅁㄹㄹㄹㄹㄹㄹㄹㄹㄹㄹㄹㄹㄹㄹㄹㄹㄹㄹㄹㄹㄹㄹㄹㄹㄹㄹㄹㄹㄹㄹㄹㄹㄹ" hidden="1">{"'tel2'!$B$29:$J$45","'tel2'!$A$5:$G$19","'tel2'!$B$50:$F$57","'tel2'!$B$105:$G$110","'tel2'!$B$63:$H$85","'tel2'!$B$14:$G$18","'tel2'!$B$29:$C$29"}</definedName>
    <definedName name="ㅁㅁㅁㅁㅁㅁㅁㅁㅁㅁㅁㅁㅁㅁㅁㄹㄹㄹㄹㄹㄹㄹㄹㄹㄹㄹㄹㄹㄹㄹㄹㄹㄹㄹㄹㄹㄹㄹㄹㄹㄹㄹㄹㄹㄹㄹㄹㄹㄹㄹㄹㄹㄹㄹㄹ" hidden="1">{"'tel2'!$B$29:$J$45","'tel2'!$A$5:$G$19","'tel2'!$B$50:$F$57","'tel2'!$B$105:$G$110","'tel2'!$B$63:$H$85","'tel2'!$B$14:$G$18","'tel2'!$B$29:$C$29"}</definedName>
    <definedName name="ㅁㅁㅁㅁㅁㅁㅁㅁㅁㅁㅁㅁㅁㅁㅁㄹㄹㄹㄹㄹㄹㄹㄹㄹㄹㄹㄹㄹㄹㄹㄹㄹㄹㄹㄹㄻㅁㅁㅁㅁㅁㅁㅁㅁㅁㅁㅁㅁㅁㅁㅁㅁㅁㅁㅁㅁㅁㅁㅁㅁㅁㅁㅁㅁㄹㄹㄹㄹㄹㄹㄹㄹㄹㄹㄹㄹㄹㄹㄹㄹㄹㄹㄹㄹㄹㄹㄹㄹㄹㄹㄹㄹㄹㄹㄹㄹㄹㄹㄹㄹㄹㄹ" hidden="1">{"'tel2'!$B$29:$J$45","'tel2'!$A$5:$G$19","'tel2'!$B$50:$F$57","'tel2'!$B$105:$G$110","'tel2'!$B$63:$H$85","'tel2'!$B$14:$G$18","'tel2'!$B$29:$C$29"}</definedName>
    <definedName name="ㅁㅇㄹㅇ"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ㅁㅇㄹㅇㄹ" hidden="1">{#N/A,#N/A,FALSE,"손익표지";#N/A,#N/A,FALSE,"손익계산";#N/A,#N/A,FALSE,"일반관리비";#N/A,#N/A,FALSE,"영업외수익";#N/A,#N/A,FALSE,"영업외비용";#N/A,#N/A,FALSE,"매출액";#N/A,#N/A,FALSE,"요약손익";#N/A,#N/A,FALSE,"요약대차";#N/A,#N/A,FALSE,"매출채권현황";#N/A,#N/A,FALSE,"매출채권명세"}</definedName>
    <definedName name="마" hidden="1">{#N/A,#N/A,FALSE,"손익표지";#N/A,#N/A,FALSE,"손익계산";#N/A,#N/A,FALSE,"일반관리비";#N/A,#N/A,FALSE,"영업외수익";#N/A,#N/A,FALSE,"영업외비용";#N/A,#N/A,FALSE,"매출액";#N/A,#N/A,FALSE,"요약손익";#N/A,#N/A,FALSE,"요약대차";#N/A,#N/A,FALSE,"매출채권현황";#N/A,#N/A,FALSE,"매출채권명세"}</definedName>
    <definedName name="마라" hidden="1">{#N/A,#N/A,FALSE,"손익표지";#N/A,#N/A,FALSE,"손익계산";#N/A,#N/A,FALSE,"일반관리비";#N/A,#N/A,FALSE,"영업외수익";#N/A,#N/A,FALSE,"영업외비용";#N/A,#N/A,FALSE,"매출액";#N/A,#N/A,FALSE,"요약손익";#N/A,#N/A,FALSE,"요약대차";#N/A,#N/A,FALSE,"매출채권현황";#N/A,#N/A,FALSE,"매출채권명세"}</definedName>
    <definedName name="마바" hidden="1">{#N/A,#N/A,FALSE,"손익표지";#N/A,#N/A,FALSE,"손익계산";#N/A,#N/A,FALSE,"일반관리비";#N/A,#N/A,FALSE,"영업외수익";#N/A,#N/A,FALSE,"영업외비용";#N/A,#N/A,FALSE,"매출액";#N/A,#N/A,FALSE,"요약손익";#N/A,#N/A,FALSE,"요약대차";#N/A,#N/A,FALSE,"매출채권현황";#N/A,#N/A,FALSE,"매출채권명세"}</definedName>
    <definedName name="매" hidden="1">{#N/A,#N/A,FALSE,"손익표지";#N/A,#N/A,FALSE,"손익계산";#N/A,#N/A,FALSE,"일반관리비";#N/A,#N/A,FALSE,"영업외수익";#N/A,#N/A,FALSE,"영업외비용";#N/A,#N/A,FALSE,"매출액";#N/A,#N/A,FALSE,"요약손익";#N/A,#N/A,FALSE,"요약대차";#N/A,#N/A,FALSE,"매출채권현황";#N/A,#N/A,FALSE,"매출채권명세"}</definedName>
    <definedName name="매출" hidden="1">{#N/A,#N/A,FALSE,"손익표지";#N/A,#N/A,FALSE,"손익계산";#N/A,#N/A,FALSE,"일반관리비";#N/A,#N/A,FALSE,"영업외수익";#N/A,#N/A,FALSE,"영업외비용";#N/A,#N/A,FALSE,"매출액";#N/A,#N/A,FALSE,"요약손익";#N/A,#N/A,FALSE,"요약대차";#N/A,#N/A,FALSE,"매출채권현황";#N/A,#N/A,FALSE,"매출채권명세"}</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차" hidden="1">{#N/A,#N/A,FALSE,"손익표지";#N/A,#N/A,FALSE,"손익계산";#N/A,#N/A,FALSE,"일반관리비";#N/A,#N/A,FALSE,"영업외수익";#N/A,#N/A,FALSE,"영업외비용";#N/A,#N/A,FALSE,"매출액";#N/A,#N/A,FALSE,"요약손익";#N/A,#N/A,FALSE,"요약대차";#N/A,#N/A,FALSE,"매출채권현황";#N/A,#N/A,FALSE,"매출채권명세"}</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미" hidden="1">{#N/A,#N/A,FALSE,"손익표지";#N/A,#N/A,FALSE,"손익계산";#N/A,#N/A,FALSE,"일반관리비";#N/A,#N/A,FALSE,"영업외수익";#N/A,#N/A,FALSE,"영업외비용";#N/A,#N/A,FALSE,"매출액";#N/A,#N/A,FALSE,"요약손익";#N/A,#N/A,FALSE,"요약대차";#N/A,#N/A,FALSE,"매출채권현황";#N/A,#N/A,FALSE,"매출채권명세"}</definedName>
    <definedName name="미지급" hidden="1">#REF!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ㅂ" hidden="1">{#N/A,#N/A,FALSE,"손익표지";#N/A,#N/A,FALSE,"손익계산";#N/A,#N/A,FALSE,"일반관리비";#N/A,#N/A,FALSE,"영업외수익";#N/A,#N/A,FALSE,"영업외비용";#N/A,#N/A,FALSE,"매출액";#N/A,#N/A,FALSE,"요약손익";#N/A,#N/A,FALSE,"요약대차";#N/A,#N/A,FALSE,"매출채권현황";#N/A,#N/A,FALSE,"매출채권명세"}</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바" hidden="1">{#N/A,#N/A,FALSE,"손익표지";#N/A,#N/A,FALSE,"손익계산";#N/A,#N/A,FALSE,"일반관리비";#N/A,#N/A,FALSE,"영업외수익";#N/A,#N/A,FALSE,"영업외비용";#N/A,#N/A,FALSE,"매출액";#N/A,#N/A,FALSE,"요약손익";#N/A,#N/A,FALSE,"요약대차";#N/A,#N/A,FALSE,"매출채권현황";#N/A,#N/A,FALSE,"매출채권명세"}</definedName>
    <definedName name="바람" hidden="1">{#N/A,#N/A,FALSE,"손익표지";#N/A,#N/A,FALSE,"손익계산";#N/A,#N/A,FALSE,"일반관리비";#N/A,#N/A,FALSE,"영업외수익";#N/A,#N/A,FALSE,"영업외비용";#N/A,#N/A,FALSE,"매출액";#N/A,#N/A,FALSE,"요약손익";#N/A,#N/A,FALSE,"요약대차";#N/A,#N/A,FALSE,"매출채권현황";#N/A,#N/A,FALSE,"매출채권명세"}</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변경양식" hidden="1">{#N/A,#N/A,FALSE,"손익표지";#N/A,#N/A,FALSE,"손익계산";#N/A,#N/A,FALSE,"일반관리비";#N/A,#N/A,FALSE,"영업외수익";#N/A,#N/A,FALSE,"영업외비용";#N/A,#N/A,FALSE,"매출액";#N/A,#N/A,FALSE,"요약손익";#N/A,#N/A,FALSE,"요약대차";#N/A,#N/A,FALSE,"매출채권현황";#N/A,#N/A,FALSE,"매출채권명세"}</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고" hidden="1">{#N/A,#N/A,FALSE,"손익표지";#N/A,#N/A,FALSE,"손익계산";#N/A,#N/A,FALSE,"일반관리비";#N/A,#N/A,FALSE,"영업외수익";#N/A,#N/A,FALSE,"영업외비용";#N/A,#N/A,FALSE,"매출액";#N/A,#N/A,FALSE,"요약손익";#N/A,#N/A,FALSE,"요약대차";#N/A,#N/A,FALSE,"매출채권현황";#N/A,#N/A,FALSE,"매출채권명세"}</definedName>
    <definedName name="보고1" hidden="1">{#N/A,#N/A,FALSE,"손익표지";#N/A,#N/A,FALSE,"손익계산";#N/A,#N/A,FALSE,"일반관리비";#N/A,#N/A,FALSE,"영업외수익";#N/A,#N/A,FALSE,"영업외비용";#N/A,#N/A,FALSE,"매출액";#N/A,#N/A,FALSE,"요약손익";#N/A,#N/A,FALSE,"요약대차";#N/A,#N/A,FALSE,"매출채권현황";#N/A,#N/A,FALSE,"매출채권명세"}</definedName>
    <definedName name="보고2" hidden="1">{#N/A,#N/A,FALSE,"손익표지";#N/A,#N/A,FALSE,"손익계산";#N/A,#N/A,FALSE,"일반관리비";#N/A,#N/A,FALSE,"영업외수익";#N/A,#N/A,FALSE,"영업외비용";#N/A,#N/A,FALSE,"매출액";#N/A,#N/A,FALSE,"요약손익";#N/A,#N/A,FALSE,"요약대차";#N/A,#N/A,FALSE,"매출채권현황";#N/A,#N/A,FALSE,"매출채권명세"}</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본문2"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연말인원"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분" hidden="1">{#N/A,#N/A,FALSE,"손익표지";#N/A,#N/A,FALSE,"손익계산";#N/A,#N/A,FALSE,"일반관리비";#N/A,#N/A,FALSE,"영업외수익";#N/A,#N/A,FALSE,"영업외비용";#N/A,#N/A,FALSE,"매출액";#N/A,#N/A,FALSE,"요약손익";#N/A,#N/A,FALSE,"요약대차";#N/A,#N/A,FALSE,"매출채권현황";#N/A,#N/A,FALSE,"매출채권명세"}</definedName>
    <definedName name="분기" hidden="1">{#N/A,#N/A,FALSE,"손익표지";#N/A,#N/A,FALSE,"손익계산";#N/A,#N/A,FALSE,"일반관리비";#N/A,#N/A,FALSE,"영업외수익";#N/A,#N/A,FALSE,"영업외비용";#N/A,#N/A,FALSE,"매출액";#N/A,#N/A,FALSE,"요약손익";#N/A,#N/A,FALSE,"요약대차";#N/A,#N/A,FALSE,"매출채권현황";#N/A,#N/A,FALSE,"매출채권명세"}</definedName>
    <definedName name="분기에비타"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상경영" hidden="1">{#N/A,#N/A,FALSE,"손익표지";#N/A,#N/A,FALSE,"손익계산";#N/A,#N/A,FALSE,"일반관리비";#N/A,#N/A,FALSE,"영업외수익";#N/A,#N/A,FALSE,"영업외비용";#N/A,#N/A,FALSE,"매출액";#N/A,#N/A,FALSE,"요약손익";#N/A,#N/A,FALSE,"요약대차";#N/A,#N/A,FALSE,"매출채권현황";#N/A,#N/A,FALSE,"매출채권명세"}</definedName>
    <definedName name="비용" hidden="1">{#N/A,#N/A,FALSE,"손익표지";#N/A,#N/A,FALSE,"손익계산";#N/A,#N/A,FALSE,"일반관리비";#N/A,#N/A,FALSE,"영업외수익";#N/A,#N/A,FALSE,"영업외비용";#N/A,#N/A,FALSE,"매출액";#N/A,#N/A,FALSE,"요약손익";#N/A,#N/A,FALSE,"요약대차";#N/A,#N/A,FALSE,"매출채권현황";#N/A,#N/A,FALSE,"매출채권명세"}</definedName>
    <definedName name="비용1" hidden="1">{#N/A,#N/A,FALSE,"손익표지";#N/A,#N/A,FALSE,"손익계산";#N/A,#N/A,FALSE,"일반관리비";#N/A,#N/A,FALSE,"영업외수익";#N/A,#N/A,FALSE,"영업외비용";#N/A,#N/A,FALSE,"매출액";#N/A,#N/A,FALSE,"요약손익";#N/A,#N/A,FALSE,"요약대차";#N/A,#N/A,FALSE,"매출채권현황";#N/A,#N/A,FALSE,"매출채권명세"}</definedName>
    <definedName name="비용10" hidden="1">{#N/A,#N/A,FALSE,"손익표지";#N/A,#N/A,FALSE,"손익계산";#N/A,#N/A,FALSE,"일반관리비";#N/A,#N/A,FALSE,"영업외수익";#N/A,#N/A,FALSE,"영업외비용";#N/A,#N/A,FALSE,"매출액";#N/A,#N/A,FALSE,"요약손익";#N/A,#N/A,FALSE,"요약대차";#N/A,#N/A,FALSE,"매출채권현황";#N/A,#N/A,FALSE,"매출채권명세"}</definedName>
    <definedName name="비용123" hidden="1">{#N/A,#N/A,FALSE,"손익표지";#N/A,#N/A,FALSE,"손익계산";#N/A,#N/A,FALSE,"일반관리비";#N/A,#N/A,FALSE,"영업외수익";#N/A,#N/A,FALSE,"영업외비용";#N/A,#N/A,FALSE,"매출액";#N/A,#N/A,FALSE,"요약손익";#N/A,#N/A,FALSE,"요약대차";#N/A,#N/A,FALSE,"매출채권현황";#N/A,#N/A,FALSE,"매출채권명세"}</definedName>
    <definedName name="비용2" hidden="1">{#N/A,#N/A,FALSE,"손익표지";#N/A,#N/A,FALSE,"손익계산";#N/A,#N/A,FALSE,"일반관리비";#N/A,#N/A,FALSE,"영업외수익";#N/A,#N/A,FALSE,"영업외비용";#N/A,#N/A,FALSE,"매출액";#N/A,#N/A,FALSE,"요약손익";#N/A,#N/A,FALSE,"요약대차";#N/A,#N/A,FALSE,"매출채권현황";#N/A,#N/A,FALSE,"매출채권명세"}</definedName>
    <definedName name="비용9" hidden="1">{#N/A,#N/A,FALSE,"손익표지";#N/A,#N/A,FALSE,"손익계산";#N/A,#N/A,FALSE,"일반관리비";#N/A,#N/A,FALSE,"영업외수익";#N/A,#N/A,FALSE,"영업외비용";#N/A,#N/A,FALSE,"매출액";#N/A,#N/A,FALSE,"요약손익";#N/A,#N/A,FALSE,"요약대차";#N/A,#N/A,FALSE,"매출채권현황";#N/A,#N/A,FALSE,"매출채권명세"}</definedName>
    <definedName name="비전경영수립지침"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ㄷㄱㄹ" hidden="1">{#N/A,#N/A,FALSE,"손익표지";#N/A,#N/A,FALSE,"손익계산";#N/A,#N/A,FALSE,"일반관리비";#N/A,#N/A,FALSE,"영업외수익";#N/A,#N/A,FALSE,"영업외비용";#N/A,#N/A,FALSE,"매출액";#N/A,#N/A,FALSE,"요약손익";#N/A,#N/A,FALSE,"요약대차";#N/A,#N/A,FALSE,"매출채권현황";#N/A,#N/A,FALSE,"매출채권명세"}</definedName>
    <definedName name="사" hidden="1">{#N/A,#N/A,FALSE,"손익표지";#N/A,#N/A,FALSE,"손익계산";#N/A,#N/A,FALSE,"일반관리비";#N/A,#N/A,FALSE,"영업외수익";#N/A,#N/A,FALSE,"영업외비용";#N/A,#N/A,FALSE,"매출액";#N/A,#N/A,FALSE,"요약손익";#N/A,#N/A,FALSE,"요약대차";#N/A,#N/A,FALSE,"매출채권현황";#N/A,#N/A,FALSE,"매출채권명세"}</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사사" hidden="1">{#N/A,#N/A,FALSE,"손익표지";#N/A,#N/A,FALSE,"손익계산";#N/A,#N/A,FALSE,"일반관리비";#N/A,#N/A,FALSE,"영업외수익";#N/A,#N/A,FALSE,"영업외비용";#N/A,#N/A,FALSE,"매출액";#N/A,#N/A,FALSE,"요약손익";#N/A,#N/A,FALSE,"요약대차";#N/A,#N/A,FALSE,"매출채권현황";#N/A,#N/A,FALSE,"매출채권명세"}</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hidden="1">{#N/A,#N/A,FALSE,"손익표지";#N/A,#N/A,FALSE,"손익계산";#N/A,#N/A,FALSE,"일반관리비";#N/A,#N/A,FALSE,"영업외수익";#N/A,#N/A,FALSE,"영업외비용";#N/A,#N/A,FALSE,"매출액";#N/A,#N/A,FALSE,"요약손익";#N/A,#N/A,FALSE,"요약대차";#N/A,#N/A,FALSE,"매출채권현황";#N/A,#N/A,FALSE,"매출채권명세"}</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용" hidden="1">{#N/A,#N/A,FALSE,"손익표지";#N/A,#N/A,FALSE,"손익계산";#N/A,#N/A,FALSE,"일반관리비";#N/A,#N/A,FALSE,"영업외수익";#N/A,#N/A,FALSE,"영업외비용";#N/A,#N/A,FALSE,"매출액";#N/A,#N/A,FALSE,"요약손익";#N/A,#N/A,FALSE,"요약대차";#N/A,#N/A,FALSE,"매출채권현황";#N/A,#N/A,FALSE,"매출채권명세"}</definedName>
    <definedName name="살" hidden="1">{#N/A,#N/A,FALSE,"손익표지";#N/A,#N/A,FALSE,"손익계산";#N/A,#N/A,FALSE,"일반관리비";#N/A,#N/A,FALSE,"영업외수익";#N/A,#N/A,FALSE,"영업외비용";#N/A,#N/A,FALSE,"매출액";#N/A,#N/A,FALSE,"요약손익";#N/A,#N/A,FALSE,"요약대차";#N/A,#N/A,FALSE,"매출채권현황";#N/A,#N/A,FALSE,"매출채권명세"}</definedName>
    <definedName name="상단" hidden="1">{#N/A,#N/A,FALSE,"손익표지";#N/A,#N/A,FALSE,"손익계산";#N/A,#N/A,FALSE,"일반관리비";#N/A,#N/A,FALSE,"영업외수익";#N/A,#N/A,FALSE,"영업외비용";#N/A,#N/A,FALSE,"매출액";#N/A,#N/A,FALSE,"요약손익";#N/A,#N/A,FALSE,"요약대차";#N/A,#N/A,FALSE,"매출채권현황";#N/A,#N/A,FALSE,"매출채권명세"}</definedName>
    <definedName name="상당" hidden="1">{#N/A,#N/A,FALSE,"손익표지";#N/A,#N/A,FALSE,"손익계산";#N/A,#N/A,FALSE,"일반관리비";#N/A,#N/A,FALSE,"영업외수익";#N/A,#N/A,FALSE,"영업외비용";#N/A,#N/A,FALSE,"매출액";#N/A,#N/A,FALSE,"요약손익";#N/A,#N/A,FALSE,"요약대차";#N/A,#N/A,FALSE,"매출채권현황";#N/A,#N/A,FALSE,"매출채권명세"}</definedName>
    <definedName name="상당2"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직" hidden="1">{#N/A,#N/A,FALSE,"손익표지";#N/A,#N/A,FALSE,"손익계산";#N/A,#N/A,FALSE,"일반관리비";#N/A,#N/A,FALSE,"영업외수익";#N/A,#N/A,FALSE,"영업외비용";#N/A,#N/A,FALSE,"매출액";#N/A,#N/A,FALSE,"요약손익";#N/A,#N/A,FALSE,"요약대차";#N/A,#N/A,FALSE,"매출채권현황";#N/A,#N/A,FALSE,"매출채권명세"}</definedName>
    <definedName name="상품" hidden="1">#REF!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선급반영" hidden="1">{#N/A,#N/A,FALSE,"손익표지";#N/A,#N/A,FALSE,"손익계산";#N/A,#N/A,FALSE,"일반관리비";#N/A,#N/A,FALSE,"영업외수익";#N/A,#N/A,FALSE,"영업외비용";#N/A,#N/A,FALSE,"매출액";#N/A,#N/A,FALSE,"요약손익";#N/A,#N/A,FALSE,"요약대차";#N/A,#N/A,FALSE,"매출채권현황";#N/A,#N/A,FALSE,"매출채권명세"}</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성" hidden="1">{#N/A,#N/A,FALSE,"손익표지";#N/A,#N/A,FALSE,"손익계산";#N/A,#N/A,FALSE,"일반관리비";#N/A,#N/A,FALSE,"영업외수익";#N/A,#N/A,FALSE,"영업외비용";#N/A,#N/A,FALSE,"매출액";#N/A,#N/A,FALSE,"요약손익";#N/A,#N/A,FALSE,"요약대차";#N/A,#N/A,FALSE,"매출채권현황";#N/A,#N/A,FALSE,"매출채권명세"}</definedName>
    <definedName name="세계" hidden="1">{#N/A,#N/A,FALSE,"손익표지";#N/A,#N/A,FALSE,"손익계산";#N/A,#N/A,FALSE,"일반관리비";#N/A,#N/A,FALSE,"영업외수익";#N/A,#N/A,FALSE,"영업외비용";#N/A,#N/A,FALSE,"매출액";#N/A,#N/A,FALSE,"요약손익";#N/A,#N/A,FALSE,"요약대차";#N/A,#N/A,FALSE,"매출채권현황";#N/A,#N/A,FALSE,"매출채권명세"}</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요" hidden="1">{#N/A,#N/A,FALSE,"손익표지";#N/A,#N/A,FALSE,"손익계산";#N/A,#N/A,FALSE,"일반관리비";#N/A,#N/A,FALSE,"영업외수익";#N/A,#N/A,FALSE,"영업외비용";#N/A,#N/A,FALSE,"매출액";#N/A,#N/A,FALSE,"요약손익";#N/A,#N/A,FALSE,"요약대차";#N/A,#N/A,FALSE,"매출채권현황";#N/A,#N/A,FALSE,"매출채권명세"}</definedName>
    <definedName name="손" hidden="1">{#N/A,#N/A,FALSE,"손익표지";#N/A,#N/A,FALSE,"손익계산";#N/A,#N/A,FALSE,"일반관리비";#N/A,#N/A,FALSE,"영업외수익";#N/A,#N/A,FALSE,"영업외비용";#N/A,#N/A,FALSE,"매출액";#N/A,#N/A,FALSE,"요약손익";#N/A,#N/A,FALSE,"요약대차";#N/A,#N/A,FALSE,"매출채권현황";#N/A,#N/A,FALSE,"매출채권명세"}</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숏ㄱ" hidden="1">{#N/A,#N/A,FALSE,"손익표지";#N/A,#N/A,FALSE,"손익계산";#N/A,#N/A,FALSE,"일반관리비";#N/A,#N/A,FALSE,"영업외수익";#N/A,#N/A,FALSE,"영업외비용";#N/A,#N/A,FALSE,"매출액";#N/A,#N/A,FALSE,"요약손익";#N/A,#N/A,FALSE,"요약대차";#N/A,#N/A,FALSE,"매출채권현황";#N/A,#N/A,FALSE,"매출채권명세"}</definedName>
    <definedName name="숏ㄳ고" hidden="1">{#N/A,#N/A,FALSE,"손익표지";#N/A,#N/A,FALSE,"손익계산";#N/A,#N/A,FALSE,"일반관리비";#N/A,#N/A,FALSE,"영업외수익";#N/A,#N/A,FALSE,"영업외비용";#N/A,#N/A,FALSE,"매출액";#N/A,#N/A,FALSE,"요약손익";#N/A,#N/A,FALSE,"요약대차";#N/A,#N/A,FALSE,"매출채권현황";#N/A,#N/A,FALSE,"매출채권명세"}</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익범위">OFFSET(Archive!$R$2,0,0,COUNTA(Archive!$R:$R)-1,1)</definedName>
    <definedName name="수익비용" hidden="1">{#N/A,#N/A,FALSE,"손익표지";#N/A,#N/A,FALSE,"손익계산";#N/A,#N/A,FALSE,"일반관리비";#N/A,#N/A,FALSE,"영업외수익";#N/A,#N/A,FALSE,"영업외비용";#N/A,#N/A,FALSE,"매출액";#N/A,#N/A,FALSE,"요약손익";#N/A,#N/A,FALSE,"요약대차";#N/A,#N/A,FALSE,"매출채권현황";#N/A,#N/A,FALSE,"매출채권명세"}</definedName>
    <definedName name="수익비용1" hidden="1">{#N/A,#N/A,FALSE,"손익표지";#N/A,#N/A,FALSE,"손익계산";#N/A,#N/A,FALSE,"일반관리비";#N/A,#N/A,FALSE,"영업외수익";#N/A,#N/A,FALSE,"영업외비용";#N/A,#N/A,FALSE,"매출액";#N/A,#N/A,FALSE,"요약손익";#N/A,#N/A,FALSE,"요약대차";#N/A,#N/A,FALSE,"매출채권현황";#N/A,#N/A,FALSE,"매출채권명세"}</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신" hidden="1">{#N/A,#N/A,FALSE,"손익표지";#N/A,#N/A,FALSE,"손익계산";#N/A,#N/A,FALSE,"일반관리비";#N/A,#N/A,FALSE,"영업외수익";#N/A,#N/A,FALSE,"영업외비용";#N/A,#N/A,FALSE,"매출액";#N/A,#N/A,FALSE,"요약손익";#N/A,#N/A,FALSE,"요약대차";#N/A,#N/A,FALSE,"매출채권현황";#N/A,#N/A,FALSE,"매출채권명세"}</definedName>
    <definedName name="신지영" hidden="1">{#N/A,#N/A,FALSE,"손익표지";#N/A,#N/A,FALSE,"손익계산";#N/A,#N/A,FALSE,"일반관리비";#N/A,#N/A,FALSE,"영업외수익";#N/A,#N/A,FALSE,"영업외비용";#N/A,#N/A,FALSE,"매출액";#N/A,#N/A,FALSE,"요약손익";#N/A,#N/A,FALSE,"요약대차";#N/A,#N/A,FALSE,"매출채권현황";#N/A,#N/A,FALSE,"매출채권명세"}</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ㅇ"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ㅁ" hidden="1">{#N/A,#N/A,FALSE,"손익표지";#N/A,#N/A,FALSE,"손익계산";#N/A,#N/A,FALSE,"일반관리비";#N/A,#N/A,FALSE,"영업외수익";#N/A,#N/A,FALSE,"영업외비용";#N/A,#N/A,FALSE,"매출액";#N/A,#N/A,FALSE,"요약손익";#N/A,#N/A,FALSE,"요약대차";#N/A,#N/A,FALSE,"매출채권현황";#N/A,#N/A,FALSE,"매출채권명세"}</definedName>
    <definedName name="ㅇㄴㅇ"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ㄹㄹ" hidden="1">{#N/A,#N/A,FALSE,"손익표지";#N/A,#N/A,FALSE,"손익계산";#N/A,#N/A,FALSE,"일반관리비";#N/A,#N/A,FALSE,"영업외수익";#N/A,#N/A,FALSE,"영업외비용";#N/A,#N/A,FALSE,"매출액";#N/A,#N/A,FALSE,"요약손익";#N/A,#N/A,FALSE,"요약대차";#N/A,#N/A,FALSE,"매출채권현황";#N/A,#N/A,FALSE,"매출채권명세"}</definedName>
    <definedName name="ㅇㄹ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ㄴ" hidden="1">{#N/A,#N/A,FALSE,"손익표지";#N/A,#N/A,FALSE,"손익계산";#N/A,#N/A,FALSE,"일반관리비";#N/A,#N/A,FALSE,"영업외수익";#N/A,#N/A,FALSE,"영업외비용";#N/A,#N/A,FALSE,"매출액";#N/A,#N/A,FALSE,"요약손익";#N/A,#N/A,FALSE,"요약대차";#N/A,#N/A,FALSE,"매출채권현황";#N/A,#N/A,FALSE,"매출채권명세"}</definedName>
    <definedName name="ㅇㄹㅇㄹ" hidden="1">{#N/A,#N/A,FALSE,"손익표지";#N/A,#N/A,FALSE,"손익계산";#N/A,#N/A,FALSE,"일반관리비";#N/A,#N/A,FALSE,"영업외수익";#N/A,#N/A,FALSE,"영업외비용";#N/A,#N/A,FALSE,"매출액";#N/A,#N/A,FALSE,"요약손익";#N/A,#N/A,FALSE,"요약대차";#N/A,#N/A,FALSE,"매출채권현황";#N/A,#N/A,FALSE,"매출채권명세"}</definedName>
    <definedName name="ㅇㄹㅇㄹㅇ" hidden="1">{#N/A,#N/A,FALSE,"손익표지";#N/A,#N/A,FALSE,"손익계산";#N/A,#N/A,FALSE,"일반관리비";#N/A,#N/A,FALSE,"영업외수익";#N/A,#N/A,FALSE,"영업외비용";#N/A,#N/A,FALSE,"매출액";#N/A,#N/A,FALSE,"요약손익";#N/A,#N/A,FALSE,"요약대차";#N/A,#N/A,FALSE,"매출채권현황";#N/A,#N/A,FALSE,"매출채권명세"}</definedName>
    <definedName name="ㅇㄹㅇㄹㅇㄹ" hidden="1">{#N/A,#N/A,FALSE,"손익표지";#N/A,#N/A,FALSE,"손익계산";#N/A,#N/A,FALSE,"일반관리비";#N/A,#N/A,FALSE,"영업외수익";#N/A,#N/A,FALSE,"영업외비용";#N/A,#N/A,FALSE,"매출액";#N/A,#N/A,FALSE,"요약손익";#N/A,#N/A,FALSE,"요약대차";#N/A,#N/A,FALSE,"매출채권현황";#N/A,#N/A,FALSE,"매출채권명세"}</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ㄺ" hidden="1">{#N/A,#N/A,FALSE,"손익표지";#N/A,#N/A,FALSE,"손익계산";#N/A,#N/A,FALSE,"일반관리비";#N/A,#N/A,FALSE,"영업외수익";#N/A,#N/A,FALSE,"영업외비용";#N/A,#N/A,FALSE,"매출액";#N/A,#N/A,FALSE,"요약손익";#N/A,#N/A,FALSE,"요약대차";#N/A,#N/A,FALSE,"매출채권현황";#N/A,#N/A,FALSE,"매출채권명세"}</definedName>
    <definedName name="ㅇㄺㅅ" hidden="1">{#N/A,#N/A,FALSE,"손익표지";#N/A,#N/A,FALSE,"손익계산";#N/A,#N/A,FALSE,"일반관리비";#N/A,#N/A,FALSE,"영업외수익";#N/A,#N/A,FALSE,"영업외비용";#N/A,#N/A,FALSE,"매출액";#N/A,#N/A,FALSE,"요약손익";#N/A,#N/A,FALSE,"요약대차";#N/A,#N/A,FALSE,"매출채권현황";#N/A,#N/A,FALSE,"매출채권명세"}</definedName>
    <definedName name="ㅇㄻㄹ"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손익표지";#N/A,#N/A,FALSE,"손익계산";#N/A,#N/A,FALSE,"일반관리비";#N/A,#N/A,FALSE,"영업외수익";#N/A,#N/A,FALSE,"영업외비용";#N/A,#N/A,FALSE,"매출액";#N/A,#N/A,FALSE,"요약손익";#N/A,#N/A,FALSE,"요약대차";#N/A,#N/A,FALSE,"매출채권현황";#N/A,#N/A,FALSE,"매출채권명세"}</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ㅇㅇㅇㅇㅇ" hidden="1">{#N/A,#N/A,FALSE,"손익표지";#N/A,#N/A,FALSE,"손익계산";#N/A,#N/A,FALSE,"일반관리비";#N/A,#N/A,FALSE,"영업외수익";#N/A,#N/A,FALSE,"영업외비용";#N/A,#N/A,FALSE,"매출액";#N/A,#N/A,FALSE,"요약손익";#N/A,#N/A,FALSE,"요약대차";#N/A,#N/A,FALSE,"매출채권현황";#N/A,#N/A,FALSE,"매출채권명세"}</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아" hidden="1">{#N/A,#N/A,FALSE,"손익표지";#N/A,#N/A,FALSE,"손익계산";#N/A,#N/A,FALSE,"일반관리비";#N/A,#N/A,FALSE,"영업외수익";#N/A,#N/A,FALSE,"영업외비용";#N/A,#N/A,FALSE,"매출액";#N/A,#N/A,FALSE,"요약손익";#N/A,#N/A,FALSE,"요약대차";#N/A,#N/A,FALSE,"매출채권현황";#N/A,#N/A,FALSE,"매출채권명세"}</definedName>
    <definedName name="아무거나" hidden="1">{#N/A,#N/A,FALSE,"손익표지";#N/A,#N/A,FALSE,"손익계산";#N/A,#N/A,FALSE,"일반관리비";#N/A,#N/A,FALSE,"영업외수익";#N/A,#N/A,FALSE,"영업외비용";#N/A,#N/A,FALSE,"매출액";#N/A,#N/A,FALSE,"요약손익";#N/A,#N/A,FALSE,"요약대차";#N/A,#N/A,FALSE,"매출채권현황";#N/A,#N/A,FALSE,"매출채권명세"}</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앙"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봉제"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4" hidden="1">{#N/A,#N/A,FALSE,"손익표지";#N/A,#N/A,FALSE,"손익계산";#N/A,#N/A,FALSE,"일반관리비";#N/A,#N/A,FALSE,"영업외수익";#N/A,#N/A,FALSE,"영업외비용";#N/A,#N/A,FALSE,"매출액";#N/A,#N/A,FALSE,"요약손익";#N/A,#N/A,FALSE,"요약대차";#N/A,#N/A,FALSE,"매출채권현황";#N/A,#N/A,FALSE,"매출채권명세"}</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왜" hidden="1">{#N/A,#N/A,FALSE,"손익표지";#N/A,#N/A,FALSE,"손익계산";#N/A,#N/A,FALSE,"일반관리비";#N/A,#N/A,FALSE,"영업외수익";#N/A,#N/A,FALSE,"영업외비용";#N/A,#N/A,FALSE,"매출액";#N/A,#N/A,FALSE,"요약손익";#N/A,#N/A,FALSE,"요약대차";#N/A,#N/A,FALSE,"매출채권현황";#N/A,#N/A,FALSE,"매출채권명세"}</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 hidden="1">{#N/A,#N/A,FALSE,"손익표지";#N/A,#N/A,FALSE,"손익계산";#N/A,#N/A,FALSE,"일반관리비";#N/A,#N/A,FALSE,"영업외수익";#N/A,#N/A,FALSE,"영업외비용";#N/A,#N/A,FALSE,"매출액";#N/A,#N/A,FALSE,"요약손익";#N/A,#N/A,FALSE,"요약대차";#N/A,#N/A,FALSE,"매출채권현황";#N/A,#N/A,FALSE,"매출채권명세"}</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달러">OFFSET([4]원달러!$N$10,0,0,COUNTA([4]원달러!$N:$N)-1,1)</definedName>
    <definedName name="원본" hidden="1">{"'tel2'!$B$29:$J$45","'tel2'!$A$5:$G$19","'tel2'!$B$50:$F$57","'tel2'!$B$105:$G$110","'tel2'!$B$63:$H$85","'tel2'!$B$14:$G$18","'tel2'!$B$29:$C$29"}</definedName>
    <definedName name="원영"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유가">OFFSET(INDIRECT("'"&amp;'[4]【The FIVE】'!$BG$33&amp;"'!$N$10"),0,0,COUNTA('[4]유가(BRN)'!$N:$N)-1,1)</definedName>
    <definedName name="유로"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씨" hidden="1">{#N/A,#N/A,FALSE,"손익표지";#N/A,#N/A,FALSE,"손익계산";#N/A,#N/A,FALSE,"일반관리비";#N/A,#N/A,FALSE,"영업외수익";#N/A,#N/A,FALSE,"영업외비용";#N/A,#N/A,FALSE,"매출액";#N/A,#N/A,FALSE,"요약손익";#N/A,#N/A,FALSE,"요약대차";#N/A,#N/A,FALSE,"매출채권현황";#N/A,#N/A,FALSE,"매출채권명세"}</definedName>
    <definedName name="유휴자산" hidden="1">{#N/A,#N/A,FALSE,"손익표지";#N/A,#N/A,FALSE,"손익계산";#N/A,#N/A,FALSE,"일반관리비";#N/A,#N/A,FALSE,"영업외수익";#N/A,#N/A,FALSE,"영업외비용";#N/A,#N/A,FALSE,"매출액";#N/A,#N/A,FALSE,"요약손익";#N/A,#N/A,FALSE,"요약대차";#N/A,#N/A,FALSE,"매출채권현황";#N/A,#N/A,FALSE,"매출채권명세"}</definedName>
    <definedName name="유휴자산1" hidden="1">{#N/A,#N/A,FALSE,"손익표지";#N/A,#N/A,FALSE,"손익계산";#N/A,#N/A,FALSE,"일반관리비";#N/A,#N/A,FALSE,"영업외수익";#N/A,#N/A,FALSE,"영업외비용";#N/A,#N/A,FALSE,"매출액";#N/A,#N/A,FALSE,"요약손익";#N/A,#N/A,FALSE,"요약대차";#N/A,#N/A,FALSE,"매출채권현황";#N/A,#N/A,FALSE,"매출채권명세"}</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이" hidden="1">{#N/A,#N/A,FALSE,"손익표지";#N/A,#N/A,FALSE,"손익계산";#N/A,#N/A,FALSE,"일반관리비";#N/A,#N/A,FALSE,"영업외수익";#N/A,#N/A,FALSE,"영업외비용";#N/A,#N/A,FALSE,"매출액";#N/A,#N/A,FALSE,"요약손익";#N/A,#N/A,FALSE,"요약대차";#N/A,#N/A,FALSE,"매출채권현황";#N/A,#N/A,FALSE,"매출채권명세"}</definedName>
    <definedName name="이내학" hidden="1">{#N/A,#N/A,FALSE,"총판매현황-5월 "}</definedName>
    <definedName name="이력변동2" hidden="1">{#N/A,#N/A,FALSE,"손익표지";#N/A,#N/A,FALSE,"손익계산";#N/A,#N/A,FALSE,"일반관리비";#N/A,#N/A,FALSE,"영업외수익";#N/A,#N/A,FALSE,"영업외비용";#N/A,#N/A,FALSE,"매출액";#N/A,#N/A,FALSE,"요약손익";#N/A,#N/A,FALSE,"요약대차";#N/A,#N/A,FALSE,"매출채권현황";#N/A,#N/A,FALSE,"매출채권명세"}</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인덱스" hidden="1">{#N/A,#N/A,FALSE,"손익표지";#N/A,#N/A,FALSE,"손익계산";#N/A,#N/A,FALSE,"일반관리비";#N/A,#N/A,FALSE,"영업외수익";#N/A,#N/A,FALSE,"영업외비용";#N/A,#N/A,FALSE,"매출액";#N/A,#N/A,FALSE,"요약손익";#N/A,#N/A,FALSE,"요약대차";#N/A,#N/A,FALSE,"매출채권현황";#N/A,#N/A,FALSE,"매출채권명세"}</definedName>
    <definedName name="인력변동" hidden="1">{#N/A,#N/A,FALSE,"손익표지";#N/A,#N/A,FALSE,"손익계산";#N/A,#N/A,FALSE,"일반관리비";#N/A,#N/A,FALSE,"영업외수익";#N/A,#N/A,FALSE,"영업외비용";#N/A,#N/A,FALSE,"매출액";#N/A,#N/A,FALSE,"요약손익";#N/A,#N/A,FALSE,"요약대차";#N/A,#N/A,FALSE,"매출채권현황";#N/A,#N/A,FALSE,"매출채권명세"}</definedName>
    <definedName name="인연" hidden="1">{#N/A,#N/A,FALSE,"손익표지";#N/A,#N/A,FALSE,"손익계산";#N/A,#N/A,FALSE,"일반관리비";#N/A,#N/A,FALSE,"영업외수익";#N/A,#N/A,FALSE,"영업외비용";#N/A,#N/A,FALSE,"매출액";#N/A,#N/A,FALSE,"요약손익";#N/A,#N/A,FALSE,"요약대차";#N/A,#N/A,FALSE,"매출채권현황";#N/A,#N/A,FALSE,"매출채권명세"}</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증감" hidden="1">{"'BSC(2001)'!$A$27:$G$32"}</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일반"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hidden="1">{#N/A,#N/A,FALSE,"손익표지";#N/A,#N/A,FALSE,"손익계산";#N/A,#N/A,FALSE,"일반관리비";#N/A,#N/A,FALSE,"영업외수익";#N/A,#N/A,FALSE,"영업외비용";#N/A,#N/A,FALSE,"매출액";#N/A,#N/A,FALSE,"요약손익";#N/A,#N/A,FALSE,"요약대차";#N/A,#N/A,FALSE,"매출채권현황";#N/A,#N/A,FALSE,"매출채권명세"}</definedName>
    <definedName name="일정표" hidden="1">{#N/A,#N/A,FALSE,"손익표지";#N/A,#N/A,FALSE,"손익계산";#N/A,#N/A,FALSE,"일반관리비";#N/A,#N/A,FALSE,"영업외수익";#N/A,#N/A,FALSE,"영업외비용";#N/A,#N/A,FALSE,"매출액";#N/A,#N/A,FALSE,"요약손익";#N/A,#N/A,FALSE,"요약대차";#N/A,#N/A,FALSE,"매출채권현황";#N/A,#N/A,FALSE,"매출채권명세"}</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ㅈ"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자"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차" hidden="1">{#N/A,#N/A,FALSE,"손익표지";#N/A,#N/A,FALSE,"손익계산";#N/A,#N/A,FALSE,"일반관리비";#N/A,#N/A,FALSE,"영업외수익";#N/A,#N/A,FALSE,"영업외비용";#N/A,#N/A,FALSE,"매출액";#N/A,#N/A,FALSE,"요약손익";#N/A,#N/A,FALSE,"요약대차";#N/A,#N/A,FALSE,"매출채권현황";#N/A,#N/A,FALSE,"매출채권명세"}</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재무" hidden="1">{#N/A,#N/A,FALSE,"손익표지";#N/A,#N/A,FALSE,"손익계산";#N/A,#N/A,FALSE,"일반관리비";#N/A,#N/A,FALSE,"영업외수익";#N/A,#N/A,FALSE,"영업외비용";#N/A,#N/A,FALSE,"매출액";#N/A,#N/A,FALSE,"요약손익";#N/A,#N/A,FALSE,"요약대차";#N/A,#N/A,FALSE,"매출채권현황";#N/A,#N/A,FALSE,"매출채권명세"}</definedName>
    <definedName name="재무비상" hidden="1">{#N/A,#N/A,FALSE,"손익표지";#N/A,#N/A,FALSE,"손익계산";#N/A,#N/A,FALSE,"일반관리비";#N/A,#N/A,FALSE,"영업외수익";#N/A,#N/A,FALSE,"영업외비용";#N/A,#N/A,FALSE,"매출액";#N/A,#N/A,FALSE,"요약손익";#N/A,#N/A,FALSE,"요약대차";#N/A,#N/A,FALSE,"매출채권현황";#N/A,#N/A,FALSE,"매출채권명세"}</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저"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정"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표" hidden="1">{#N/A,#N/A,FALSE,"손익표지";#N/A,#N/A,FALSE,"손익계산";#N/A,#N/A,FALSE,"일반관리비";#N/A,#N/A,FALSE,"영업외수익";#N/A,#N/A,FALSE,"영업외비용";#N/A,#N/A,FALSE,"매출액";#N/A,#N/A,FALSE,"요약손익";#N/A,#N/A,FALSE,"요약대차";#N/A,#N/A,FALSE,"매출채권현황";#N/A,#N/A,FALSE,"매출채권명세"}</definedName>
    <definedName name="주" hidden="1">{#N/A,#N/A,FALSE,"손익표지";#N/A,#N/A,FALSE,"손익계산";#N/A,#N/A,FALSE,"일반관리비";#N/A,#N/A,FALSE,"영업외수익";#N/A,#N/A,FALSE,"영업외비용";#N/A,#N/A,FALSE,"매출액";#N/A,#N/A,FALSE,"요약손익";#N/A,#N/A,FALSE,"요약대차";#N/A,#N/A,FALSE,"매출채권현황";#N/A,#N/A,FALSE,"매출채권명세"}</definedName>
    <definedName name="주40시간"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점" hidden="1">{"'BSC(2001)'!$A$27:$G$32"}</definedName>
    <definedName name="중점추" hidden="1">{"'BSC(2001)'!$A$27:$G$32"}</definedName>
    <definedName name="중점추진상" hidden="1">{"'BSC(2001)'!$A$27:$G$32"}</definedName>
    <definedName name="지역별" hidden="1">{"'tel2'!$B$29:$J$45","'tel2'!$A$5:$G$19","'tel2'!$B$50:$F$57","'tel2'!$B$105:$G$110","'tel2'!$B$63:$H$85","'tel2'!$B$14:$G$18","'tel2'!$B$29:$C$29"}</definedName>
    <definedName name="지유석" hidden="1">{#N/A,#N/A,FALSE,"손익표지";#N/A,#N/A,FALSE,"손익계산";#N/A,#N/A,FALSE,"일반관리비";#N/A,#N/A,FALSE,"영업외수익";#N/A,#N/A,FALSE,"영업외비용";#N/A,#N/A,FALSE,"매출액";#N/A,#N/A,FALSE,"요약손익";#N/A,#N/A,FALSE,"요약대차";#N/A,#N/A,FALSE,"매출채권현황";#N/A,#N/A,FALSE,"매출채권명세"}</definedName>
    <definedName name="직급공정" hidden="1">#REF!</definedName>
    <definedName name="진"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ㅊ" hidden="1">{#N/A,#N/A,FALSE,"손익표지";#N/A,#N/A,FALSE,"손익계산";#N/A,#N/A,FALSE,"일반관리비";#N/A,#N/A,FALSE,"영업외수익";#N/A,#N/A,FALSE,"영업외비용";#N/A,#N/A,FALSE,"매출액";#N/A,#N/A,FALSE,"요약손익";#N/A,#N/A,FALSE,"요약대차";#N/A,#N/A,FALSE,"매출채권현황";#N/A,#N/A,FALSE,"매출채권명세"}</definedName>
    <definedName name="ㅊㅊㅊㅊㅊ" hidden="1">{#N/A,#N/A,FALSE,"손익표지";#N/A,#N/A,FALSE,"손익계산";#N/A,#N/A,FALSE,"일반관리비";#N/A,#N/A,FALSE,"영업외수익";#N/A,#N/A,FALSE,"영업외비용";#N/A,#N/A,FALSE,"매출액";#N/A,#N/A,FALSE,"요약손익";#N/A,#N/A,FALSE,"요약대차";#N/A,#N/A,FALSE,"매출채권현황";#N/A,#N/A,FALSE,"매출채권명세"}</definedName>
    <definedName name="차이" hidden="1">{#N/A,#N/A,FALSE,"손익표지";#N/A,#N/A,FALSE,"손익계산";#N/A,#N/A,FALSE,"일반관리비";#N/A,#N/A,FALSE,"영업외수익";#N/A,#N/A,FALSE,"영업외비용";#N/A,#N/A,FALSE,"매출액";#N/A,#N/A,FALSE,"요약손익";#N/A,#N/A,FALSE,"요약대차";#N/A,#N/A,FALSE,"매출채권현황";#N/A,#N/A,FALSE,"매출채권명세"}</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차" hidden="1">{#N/A,#N/A,FALSE,"손익표지";#N/A,#N/A,FALSE,"손익계산";#N/A,#N/A,FALSE,"일반관리비";#N/A,#N/A,FALSE,"영업외수익";#N/A,#N/A,FALSE,"영업외비용";#N/A,#N/A,FALSE,"매출액";#N/A,#N/A,FALSE,"요약손익";#N/A,#N/A,FALSE,"요약대차";#N/A,#N/A,FALSE,"매출채권현황";#N/A,#N/A,FALSE,"매출채권명세"}</definedName>
    <definedName name="참고2" hidden="1">#N/A</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진효과" hidden="1">{"'BSC(2001)'!$A$27:$G$32"}</definedName>
    <definedName name="출입국" hidden="1">{#N/A,#N/A,FALSE,"손익표지";#N/A,#N/A,FALSE,"손익계산";#N/A,#N/A,FALSE,"일반관리비";#N/A,#N/A,FALSE,"영업외수익";#N/A,#N/A,FALSE,"영업외비용";#N/A,#N/A,FALSE,"매출액";#N/A,#N/A,FALSE,"요약손익";#N/A,#N/A,FALSE,"요약대차";#N/A,#N/A,FALSE,"매출채권현황";#N/A,#N/A,FALSE,"매출채권명세"}</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코스피">OFFSET([4]코스피!$N$10,0,0,COUNTA([4]코스피!$N:$N)-1,1)</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ㅌ"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토목" hidden="1">{#N/A,#N/A,FALSE,"손익표지";#N/A,#N/A,FALSE,"손익계산";#N/A,#N/A,FALSE,"일반관리비";#N/A,#N/A,FALSE,"영업외수익";#N/A,#N/A,FALSE,"영업외비용";#N/A,#N/A,FALSE,"매출액";#N/A,#N/A,FALSE,"요약손익";#N/A,#N/A,FALSE,"요약대차";#N/A,#N/A,FALSE,"매출채권현황";#N/A,#N/A,FALSE,"매출채권명세"}</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투" hidden="1">#REF!</definedName>
    <definedName name="ㅍ" hidden="1">#REF!</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균" hidden="1">{#N/A,#N/A,FALSE,"손익표지";#N/A,#N/A,FALSE,"손익계산";#N/A,#N/A,FALSE,"일반관리비";#N/A,#N/A,FALSE,"영업외수익";#N/A,#N/A,FALSE,"영업외비용";#N/A,#N/A,FALSE,"매출액";#N/A,#N/A,FALSE,"요약손익";#N/A,#N/A,FALSE,"요약대차";#N/A,#N/A,FALSE,"매출채권현황";#N/A,#N/A,FALSE,"매출채권명세"}</definedName>
    <definedName name="품목별" hidden="1">{#N/A,#N/A,FALSE,"총판매현황-5월 "}</definedName>
    <definedName name="품목순위" hidden="1">{#N/A,#N/A,FALSE,"총판매현황-5월 "}</definedName>
    <definedName name="ㅎ" hidden="1">{#N/A,#N/A,FALSE,"손익표지";#N/A,#N/A,FALSE,"손익계산";#N/A,#N/A,FALSE,"일반관리비";#N/A,#N/A,FALSE,"영업외수익";#N/A,#N/A,FALSE,"영업외비용";#N/A,#N/A,FALSE,"매출액";#N/A,#N/A,FALSE,"요약손익";#N/A,#N/A,FALSE,"요약대차";#N/A,#N/A,FALSE,"매출채권현황";#N/A,#N/A,FALSE,"매출채권명세"}</definedName>
    <definedName name="ㅎㄹㅇㅎㅎㄹ"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항공" hidden="1">{#N/A,#N/A,FALSE,"손익표지";#N/A,#N/A,FALSE,"손익계산";#N/A,#N/A,FALSE,"일반관리비";#N/A,#N/A,FALSE,"영업외수익";#N/A,#N/A,FALSE,"영업외비용";#N/A,#N/A,FALSE,"매출액";#N/A,#N/A,FALSE,"요약손익";#N/A,#N/A,FALSE,"요약대차";#N/A,#N/A,FALSE,"매출채권현황";#N/A,#N/A,FALSE,"매출채권명세"}</definedName>
    <definedName name="항공권지원"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현금1" hidden="1">{#N/A,#N/A,FALSE,"손익표지";#N/A,#N/A,FALSE,"손익계산";#N/A,#N/A,FALSE,"일반관리비";#N/A,#N/A,FALSE,"영업외수익";#N/A,#N/A,FALSE,"영업외비용";#N/A,#N/A,FALSE,"매출액";#N/A,#N/A,FALSE,"요약손익";#N/A,#N/A,FALSE,"요약대차";#N/A,#N/A,FALSE,"매출채권현황";#N/A,#N/A,FALSE,"매출채권명세"}</definedName>
    <definedName name="현금7"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진" hidden="1">{#N/A,#N/A,FALSE,"손익표지";#N/A,#N/A,FALSE,"손익계산";#N/A,#N/A,FALSE,"일반관리비";#N/A,#N/A,FALSE,"영업외수익";#N/A,#N/A,FALSE,"영업외비용";#N/A,#N/A,FALSE,"매출액";#N/A,#N/A,FALSE,"요약손익";#N/A,#N/A,FALSE,"요약대차";#N/A,#N/A,FALSE,"매출채권현황";#N/A,#N/A,FALSE,"매출채권명세"}</definedName>
    <definedName name="호로"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보"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황" hidden="1">{#N/A,#N/A,FALSE,"손익표지";#N/A,#N/A,FALSE,"손익계산";#N/A,#N/A,FALSE,"일반관리비";#N/A,#N/A,FALSE,"영업외수익";#N/A,#N/A,FALSE,"영업외비용";#N/A,#N/A,FALSE,"매출액";#N/A,#N/A,FALSE,"요약손익";#N/A,#N/A,FALSE,"요약대차";#N/A,#N/A,FALSE,"매출채권현황";#N/A,#N/A,FALSE,"매출채권명세"}</definedName>
    <definedName name="회색"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ㅏ" hidden="1">{#N/A,#N/A,FALSE,"손익표지";#N/A,#N/A,FALSE,"손익계산";#N/A,#N/A,FALSE,"일반관리비";#N/A,#N/A,FALSE,"영업외수익";#N/A,#N/A,FALSE,"영업외비용";#N/A,#N/A,FALSE,"매출액";#N/A,#N/A,FALSE,"요약손익";#N/A,#N/A,FALSE,"요약대차";#N/A,#N/A,FALSE,"매출채권현황";#N/A,#N/A,FALSE,"매출채권명세"}</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ㅑㅑ" hidden="1">{#N/A,#N/A,FALSE,"손익표지";#N/A,#N/A,FALSE,"손익계산";#N/A,#N/A,FALSE,"일반관리비";#N/A,#N/A,FALSE,"영업외수익";#N/A,#N/A,FALSE,"영업외비용";#N/A,#N/A,FALSE,"매출액";#N/A,#N/A,FALSE,"요약손익";#N/A,#N/A,FALSE,"요약대차";#N/A,#N/A,FALSE,"매출채권현황";#N/A,#N/A,FALSE,"매출채권명세"}</definedName>
    <definedName name="ㅓ" hidden="1">{#N/A,#N/A,FALSE,"손익표지";#N/A,#N/A,FALSE,"손익계산";#N/A,#N/A,FALSE,"일반관리비";#N/A,#N/A,FALSE,"영업외수익";#N/A,#N/A,FALSE,"영업외비용";#N/A,#N/A,FALSE,"매출액";#N/A,#N/A,FALSE,"요약손익";#N/A,#N/A,FALSE,"요약대차";#N/A,#N/A,FALSE,"매출채권현황";#N/A,#N/A,FALSE,"매출채권명세"}</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ㅓ"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ㅕ" hidden="1">{#N/A,#N/A,FALSE,"손익표지";#N/A,#N/A,FALSE,"손익계산";#N/A,#N/A,FALSE,"일반관리비";#N/A,#N/A,FALSE,"영업외수익";#N/A,#N/A,FALSE,"영업외비용";#N/A,#N/A,FALSE,"매출액";#N/A,#N/A,FALSE,"요약손익";#N/A,#N/A,FALSE,"요약대차";#N/A,#N/A,FALSE,"매출채권현황";#N/A,#N/A,FALSE,"매출채권명세"}</definedName>
    <definedName name="ㅕ6ㅕㅕㅅ" hidden="1">{#N/A,#N/A,FALSE,"손익표지";#N/A,#N/A,FALSE,"손익계산";#N/A,#N/A,FALSE,"일반관리비";#N/A,#N/A,FALSE,"영업외수익";#N/A,#N/A,FALSE,"영업외비용";#N/A,#N/A,FALSE,"매출액";#N/A,#N/A,FALSE,"요약손익";#N/A,#N/A,FALSE,"요약대차";#N/A,#N/A,FALSE,"매출채권현황";#N/A,#N/A,FALSE,"매출채권명세"}</definedName>
    <definedName name="ㅕㄹㅇ려ㅗㅇ" hidden="1">{#N/A,#N/A,FALSE,"손익표지";#N/A,#N/A,FALSE,"손익계산";#N/A,#N/A,FALSE,"일반관리비";#N/A,#N/A,FALSE,"영업외수익";#N/A,#N/A,FALSE,"영업외비용";#N/A,#N/A,FALSE,"매출액";#N/A,#N/A,FALSE,"요약손익";#N/A,#N/A,FALSE,"요약대차";#N/A,#N/A,FALSE,"매출채권현황";#N/A,#N/A,FALSE,"매출채권명세"}</definedName>
    <definedName name="ㅕ셧" hidden="1">{#N/A,#N/A,FALSE,"손익표지";#N/A,#N/A,FALSE,"손익계산";#N/A,#N/A,FALSE,"일반관리비";#N/A,#N/A,FALSE,"영업외수익";#N/A,#N/A,FALSE,"영업외비용";#N/A,#N/A,FALSE,"매출액";#N/A,#N/A,FALSE,"요약손익";#N/A,#N/A,FALSE,"요약대차";#N/A,#N/A,FALSE,"매출채권현황";#N/A,#N/A,FALSE,"매출채권명세"}</definedName>
    <definedName name="ㅗ"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ㅇㄹㄹ" hidden="1">{#N/A,#N/A,FALSE,"손익표지";#N/A,#N/A,FALSE,"손익계산";#N/A,#N/A,FALSE,"일반관리비";#N/A,#N/A,FALSE,"영업외수익";#N/A,#N/A,FALSE,"영업외비용";#N/A,#N/A,FALSE,"매출액";#N/A,#N/A,FALSE,"요약손익";#N/A,#N/A,FALSE,"요약대차";#N/A,#N/A,FALSE,"매출채권현황";#N/A,#N/A,FALSE,"매출채권명세"}</definedName>
    <definedName name="ㅗㅎㅎ로"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호호" hidden="1">{#N/A,#N/A,FALSE,"손익표지";#N/A,#N/A,FALSE,"손익계산";#N/A,#N/A,FALSE,"일반관리비";#N/A,#N/A,FALSE,"영업외수익";#N/A,#N/A,FALSE,"영업외비용";#N/A,#N/A,FALSE,"매출액";#N/A,#N/A,FALSE,"요약손익";#N/A,#N/A,FALSE,"요약대차";#N/A,#N/A,FALSE,"매출채권현황";#N/A,#N/A,FALSE,"매출채권명세"}</definedName>
    <definedName name="ㅗ호ㅗㅎ" hidden="1">{#N/A,#N/A,FALSE,"손익표지";#N/A,#N/A,FALSE,"손익계산";#N/A,#N/A,FALSE,"일반관리비";#N/A,#N/A,FALSE,"영업외수익";#N/A,#N/A,FALSE,"영업외비용";#N/A,#N/A,FALSE,"매출액";#N/A,#N/A,FALSE,"요약손익";#N/A,#N/A,FALSE,"요약대차";#N/A,#N/A,FALSE,"매출채권현황";#N/A,#N/A,FALSE,"매출채권명세"}</definedName>
    <definedName name="ㅗㅓㅗㅓ"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ㅓㅛ" hidden="1">{#N/A,#N/A,FALSE,"손익표지";#N/A,#N/A,FALSE,"손익계산";#N/A,#N/A,FALSE,"일반관리비";#N/A,#N/A,FALSE,"영업외수익";#N/A,#N/A,FALSE,"영업외비용";#N/A,#N/A,FALSE,"매출액";#N/A,#N/A,FALSE,"요약손익";#N/A,#N/A,FALSE,"요약대차";#N/A,#N/A,FALSE,"매출채권현황";#N/A,#N/A,FALSE,"매출채권명세"}</definedName>
    <definedName name="ㅜ" hidden="1">#REF!</definedName>
    <definedName name="ㅜㅜㅜ" hidden="1">{#N/A,#N/A,FALSE,"손익표지";#N/A,#N/A,FALSE,"손익계산";#N/A,#N/A,FALSE,"일반관리비";#N/A,#N/A,FALSE,"영업외수익";#N/A,#N/A,FALSE,"영업외비용";#N/A,#N/A,FALSE,"매출액";#N/A,#N/A,FALSE,"요약손익";#N/A,#N/A,FALSE,"요약대차";#N/A,#N/A,FALSE,"매출채권현황";#N/A,#N/A,FALSE,"매출채권명세"}</definedName>
    <definedName name="ㅠ" hidden="1">{#N/A,#N/A,FALSE,"손익표지";#N/A,#N/A,FALSE,"손익계산";#N/A,#N/A,FALSE,"일반관리비";#N/A,#N/A,FALSE,"영업외수익";#N/A,#N/A,FALSE,"영업외비용";#N/A,#N/A,FALSE,"매출액";#N/A,#N/A,FALSE,"요약손익";#N/A,#N/A,FALSE,"요약대차";#N/A,#N/A,FALSE,"매출채권현황";#N/A,#N/A,FALSE,"매출채권명세"}</definedName>
    <definedName name="ㅡㅡㅡ"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2" i="1"/>
</calcChain>
</file>

<file path=xl/sharedStrings.xml><?xml version="1.0" encoding="utf-8"?>
<sst xmlns="http://schemas.openxmlformats.org/spreadsheetml/2006/main" count="1171" uniqueCount="890">
  <si>
    <t>날짜</t>
    <phoneticPr fontId="2" type="noConversion"/>
  </si>
  <si>
    <t>전일취침</t>
    <phoneticPr fontId="2" type="noConversion"/>
  </si>
  <si>
    <t>금일기상</t>
    <phoneticPr fontId="2" type="noConversion"/>
  </si>
  <si>
    <t>수면시간</t>
    <phoneticPr fontId="2" type="noConversion"/>
  </si>
  <si>
    <t>The FIVE 실천 Counting</t>
    <phoneticPr fontId="2" type="noConversion"/>
  </si>
  <si>
    <t>오늘의 Key-Word</t>
    <phoneticPr fontId="2" type="noConversion"/>
  </si>
  <si>
    <t>오늘의 말씀</t>
    <phoneticPr fontId="2" type="noConversion"/>
  </si>
  <si>
    <t>나의 묵상 노트</t>
    <phoneticPr fontId="2" type="noConversion"/>
  </si>
  <si>
    <t>감사와 간구</t>
    <phoneticPr fontId="2" type="noConversion"/>
  </si>
  <si>
    <t>도서제목</t>
    <phoneticPr fontId="2" type="noConversion"/>
  </si>
  <si>
    <t>해당도서
독서기간</t>
    <phoneticPr fontId="2" type="noConversion"/>
  </si>
  <si>
    <t>해당도서
독서진도</t>
    <phoneticPr fontId="2" type="noConversion"/>
  </si>
  <si>
    <t>Footprint In Books</t>
    <phoneticPr fontId="2" type="noConversion"/>
  </si>
  <si>
    <t>총금액</t>
    <phoneticPr fontId="2" type="noConversion"/>
  </si>
  <si>
    <t>투자원금</t>
    <phoneticPr fontId="2" type="noConversion"/>
  </si>
  <si>
    <t>평가수익</t>
    <phoneticPr fontId="2" type="noConversion"/>
  </si>
  <si>
    <t>수익률</t>
    <phoneticPr fontId="2" type="noConversion"/>
  </si>
  <si>
    <t>Fear&amp;Greed</t>
    <phoneticPr fontId="2" type="noConversion"/>
  </si>
  <si>
    <t>My Trading Strategy</t>
    <phoneticPr fontId="2" type="noConversion"/>
  </si>
  <si>
    <t>The Whispers of Warren Kim</t>
    <phoneticPr fontId="2" type="noConversion"/>
  </si>
  <si>
    <t>미라클모닝#074-001</t>
  </si>
  <si>
    <t xml:space="preserve">2026년 목표
미라클 모닝   150회
독          서     30권
새해 복 많이 받으세요!
</t>
  </si>
  <si>
    <t>요한일서 1:1~10</t>
  </si>
  <si>
    <t xml:space="preserve"> - 묵상 : 영원히 사라지지 않는 기쁨, 감사, 만족이 있다. 그것은 '구원의 기쁨, 감사, 만족'이다. 다윗도 자신의 죄를 깨달을 때에 '구원의 기쁨'을 회복시켜 달라는 기도를 했다. 이는, 하나님과 나 사이에 맺고 있는 직접적인 관계가 바로 '예수님을 통한 죄사함', 즉 구원이기 때문이다. 하나님의 빛의 자녀로 살기 위해서, '구원의 기쁨'을 회복하고, 말씀과 찬양으로 그분과 동행하며, 그 반석위에 내 삶을 세워 나가야겠다. 
 - 감사 : 2026년 새로운 한해를 주심에 감사. 하루하루를 소중하게! / 어머니께서 오늘 북경에 오심. 오랜만에 어머니 얼굴 뵐수있게 됨에 감사!! 미라클 모닝 2026년 1회 시작하게 해주심에 감사!</t>
  </si>
  <si>
    <t>■ 말씀 암송 (5) : 디모데후서 3:16 새로운 삶 - 말씀  
모든 성경은 하나님의 감동으로 된 것으로 교훈과 책망과 바르게 함과 의로 교육하기에 유익하니  All Scripture is breathed out by God and profitable for teaching, for reproof, for correction, and for training in righteousness</t>
  </si>
  <si>
    <t>손실없는 투자원칙(남석관)</t>
  </si>
  <si>
    <t xml:space="preserve"> - 독후감 : '미연준에 맞서지 말라' .시장은 겉으로 보면 기업 실적, 뉴스, 테마, 전망 같은 것들이 움직이는 것처럼 보이지만,
실제로 가격을 움직이는 가장 큰 힘은 ‘돈의 양과 흐름’이다. 그리고 그 돈의 수도꼭지를 쥐고 있는 곳이 바로 미국의 중앙은행, 미연준(FED) 이다. 연준이 금리를 올리면 돈은 비싸지고, 시장에서 대출과 투자가 줄어들며, 주식과 부동산 같은 자산 가격은 자연스럽게 내려간다. 반대로 금리를 내리면 돈이 싸져서 시장에 다시 흘러들어오고, 자산 가격은 올라가기 쉬운 구조가 된다. </t>
  </si>
  <si>
    <t>■ My Strategy
- 그냥 가만히 있는 것도 좋은 전략!!</t>
  </si>
  <si>
    <t>미라클모닝#075-002</t>
  </si>
  <si>
    <t>모두가 잘하고 싶어하지만
모두가 어려워 하는 것
그래서 더더욱 잘하고 싶어지는 것
골프 &amp; 투자
내 평생의 친구이자 동반자</t>
  </si>
  <si>
    <t>요한일서 2:1~11</t>
  </si>
  <si>
    <t xml:space="preserve"> - 묵상 : 아무도 모르지만, 주님만 아시는 나의 연약함들을 생각하면, 내가 다른 사람을 정죄하고 미워할 자격이 전혀 없다는 것을 깨닫는다. 나같은 사람을 하나님께서 용납하셨듯이, 하나님은 내가 미워하는 사람 또한 용납하고 계시고, 나에게 용납하길 바라신다. 사람은 판단의 대상이 아니라 사랑과 용납의 대상이다. 미워하는 마음이 생긴다면 먼저 나를 용납하신 주님을 묵상하자.
 - 감사 : 새해를 어머니와 베이징에서 함께 보낼 수 있어 감사. 오늘 어머니 모시고 온가족이 천단공원을 둘러보고, 마사지 받을수 있음에 감사. 어머니와 손을 잡고 종일 걸으며 옛 이야기부터 요즘 사는 이야기까지 함께 나눔에 감사. 날이 추웠지만, 웃음이 떠나지 않는 하루에 감사. </t>
  </si>
  <si>
    <t>■ 말씀 암송 (6) : 여호수아 1:8 새로운 삶 - 말씀  
이 율법책을 네 입에서 떠나지 말게 하며 주야로 그것을 묵상하여 그 안에 기록된 대로 다 지켜 행하라 그리하면 네 길이 평탄하게 될 것이며 네가 형통하리라  This Book of the Law shall not depart from your mouth, but you shall meditate on it day and night, so that you may be careful to do according to all that is written in it. For then you will make your way prosperous, and then you will have good success.</t>
  </si>
  <si>
    <t xml:space="preserve"> - 금리 인상시기의 주식투자 : 코스피가 '21년 3,300p까지 상승하였으나 미국발 금리인상의 여파로 1년여만에 2,150으로 밀림. 이는 미국의 굼리인상 기간과 강도를 누구도 예측하지 못함. 금리고 오르면 유동성이 빠르게 축소되고, 이로 인해 주식시장은 얼어붙게 됨. 이러한 시기에는 신규매수를 멈추고, '가만히 있는'전략을 취해야하며, 바닦이 확인된 후, 반등구간에서 '실적이 수반되는 섹터'에 투자 필요.
 - 금리 인하시기의 주식투자 :  내/외부 환경변화로 인한 투자와 소비 심리 위축으로 경기가 돌지 않으면, 시장에 유동성을 공급을 위해 금리 인하 정책을 펴게 된다. 이러한 금리인하 시기에는 '대중의 이목을 많이 끌고 시장에 이수가 되는 시장 중심주가 가장 길고 오랫동안 상승' 한다. 예산치 못한 외부환경의 '위기'를 극복하기 위해 국가는 돈을 풀고, 새로운 기술과 서비스가 출시되어 위기를 극복하며, 이 새로운 섹터에 풀린 돈이 몰리는 패턴을 보인다. </t>
  </si>
  <si>
    <t xml:space="preserve">■ My Strategy
- 지금은 잠잠히 기다리며 공부에 매진할 수 있는 최고의 타이밍!
</t>
  </si>
  <si>
    <t>미라클모닝#076-003</t>
  </si>
  <si>
    <t>요한일서 2:12~27</t>
  </si>
  <si>
    <t xml:space="preserve"> - 묵상 : 대부분의 인생은 육신의 정욕, 안목의 정욕, 이생의 자랑, 이 세가지의 범주를 벗어나지 못한다. 나 또한 그렇다. 맛있는 것, 편한 것, 자극적인 것을 추구하는 육신의 정욕과, 보암직한 것, 예쁜 것, 내 눈에 차는 것만 좋아하는 안목의 정욕, 그리고, 남들 앞에 우월해지고 싶은 마음, 높아지고 싶은 교만, 비교하며 가리고 싶은 나의 열등감들...이생의 자랑들.. 우리가 육체에 속해있는 한 벗어나기 힘든 세속적 가치이다. 신앙생활이란 이 세속적 가치와 예수님의 말씀 사이에서 끊임없이 고민하고 고뇌하면서 승리해 나가는 삶이 되어야한다. 하나님. 육신의 정욕, 안목의 정욕, 이생의 자랑의 굴레에서 주의 말씀에 따라 살게 하소서. 아멘.   
 - 감사 : 어머니와 온가족이 함께 토요 새벽기도를 드리게되어 감사합니다. 새벽기도 끝나고 돌아와서 미라클 모닝을 하게되어 감사합니다. 멘토와 미라클 모닝을 함께하며, 기록한 것을 나누게 되어 감사합니다. 오늘 하루가 기대감으로 가득차니 감합니다.</t>
  </si>
  <si>
    <t>■ 말씀 암송 (7) : 요한복음 15:7 새로운 삶 - 기도  
너희가 내 안에 거하고 내 말이 너희 안에 거하면 무엇이든지 원하는 대로 구하라 그리하면 이루리라  If you abide in me, and my words abide in you, ask whatever you wish, and it will be done for you.</t>
  </si>
  <si>
    <t xml:space="preserve"> - 독후감 : </t>
  </si>
  <si>
    <t xml:space="preserve">■ My Strategy
- </t>
  </si>
  <si>
    <t>미라클모닝#077-004</t>
  </si>
  <si>
    <t>기본기를 다지자
'금리', '환율' 
완전 정복!</t>
  </si>
  <si>
    <t>요한일서 2:28~3:12</t>
  </si>
  <si>
    <t xml:space="preserve"> - 묵상 : 예수님은 어떻게 십자가의 길을 걸어가셨을까? 인간의 몸을 입으셨기에 우리가 느끼는 모든 감정들을 다 느끼셨을텐데, 그 모욕감과 억울함, 분노... 어떻게 견디셨을까? 천군천사를 동원한 말 한마디로도 자신의 권능을 보여주고 세상을 굴복시킬 힘이 있으신데, 어떻게 그 가장 비참하고 처첨한 십자가를 인내하셨을까? 나는 작은 억울함 하나도 견디지 못하고, 작은 모욕감 하나도 받아들이지 못해, 그 억울함을 풀기위해 여기저기 뒷담화하며 나의 억울함을 호소하는데.... 어떻게 하면 예수님을 닮아갈 수 있을까? 십자가의 길은 자아를 죽이고, 오직 예수께서 내안에 사실때에만 가능함을 고백합니다. 예수님, 오늘 저는 죽고 제 안에 예수님이 사십니다. 나의 힘으로는 미워하고 원망할 뿐, 사랑할수 없습니다. 당신의 사랑이 내안에 충만하게 하소서. 아멘. 
 - 감사 : 멘토와 함께 미라클 모닝 엑셀양식을 함께 공유하게되어 감사합니다. 어머니와 함께 3박 4일동안 즐거운 시간 보내게 해주셔서 감사합니다. 뭉클멤버와 새해 첫 스크린 라운딩, 감사합니다. 하민이와 자신의 인생을 소중히 여기는 방법에 대해 이야기 나누게 하심에 감사. (자신의 인생을 스스로 통제하지 않으면, 다른사람에게 통제당함)</t>
  </si>
  <si>
    <t>■ 말씀 암송 (8) : 빌립보서 4:6-7 새로운 삶 - 기도  
아무 것도 염려하지 말고 다만 모든 일에 기도와 간구로, 너희 구할 것을 감사함으로 하나님께 아뢰라 그리하면 모든 지각에 뛰어난 하나님의 평강이 그리스도 예수 안에서 너희 마음과 생각을 지키시리라  do not be anxious about anything, but in everything by prayer and supplication with thanksgiving let your requests be made known to God. And the peace of God, which surpasses all understanding, will guard your hearts and your minds in Christ Jesus.</t>
  </si>
  <si>
    <t>■ 시장분석(시장상황분석)→기본적 분석(개별기업분석)→기술적 분석(차트분석)
 - 시장분석(시장상황분석) : 금리 변화 분석 (FOMC, 물가지수, 고용지수), 환율 
 - 기본적 분석(개별기업 분석) : PER(주가수익비율), EPS(주당순이익), PBR(주가순자산비율), ROE(자기자본이익률), CB(전환사채)발행빈도, 영업손실
 - 기술적 분석(차트분석) : 저항선, 지지선, 추세선, 돌파, 이동평균선(정배열/역배열), 골든크로스, 데드크로스
※ 기타 기술적분석 : ROG, BPS, Rule of 40</t>
  </si>
  <si>
    <t>- 주식 시장이란
   단기적으로는 투표 집계기와 같고, 장기적으로는 저울과 같다. 기업의 성장은 1년 단위가 아니라 장기적인 안목으로! 배움을 통해 원칙을 세우고, 원칙을 지키는 습관을 배양하자.
- 투자자로서 성공하는 버핏의 비결
   손 닿는 대로 읽고, 시난 나는대로 사고하기. 
- 풍부한 독서와 투자 경험을 통해 다양한 원칙을 배우고 적용하는 습관 익히기.
- D램 Capa의 정체기
  공급자 우위 시장이 27년까진 계속 전망, AI로 인한 HBM 수요 급증으로 인해 DRAM 부족사태, DRAM 몸값이 올라가면서 DRAM공급업체에 대한 재평가(마이크론, 삼성전자, 하이닉스등)</t>
  </si>
  <si>
    <t>미라클모닝#078-005</t>
  </si>
  <si>
    <t>수면의 양과 질을 높이자
뇌 건강에 관심을 갖자
이제 형식보다 내용에 집중하자
체력(体力)
심력(心里)
사력(思力)
영력(灵力)</t>
  </si>
  <si>
    <t>요한일서 3:13~24</t>
  </si>
  <si>
    <t xml:space="preserve">■ 묵상 : 계산하는 마음이 나로 하여금 형제사랑하기를 주저하게 만드는 것 같다. 무엇을 하든 내 마음은 나도 모르는 사이 계산을 하고 있다. 경제적으로, 상황적으로, 결과적으로, 그것이 나에게 도움이 되는 것인지, 의미가 있는 것인지를 먼저 계산해버린다. 사랑은 계산해서 나오는 결과물이 아니다. '빚진자의 심정', '거져 받은 인생' .... 주님을 만나고 나는 이미 갚을 수 없는 만큼 큰 구원의 빚을 진 사람이다. 이 빚을 형제와 이웃에게 갚아가야하는 '빚진자의 심정'을 갖기 원합니다. 또, 무의미한 인생이 주님으로 말미암아 생명력이 넘치는 인생을 살게 되었다. 옛사람은 죽고 새로태어난 것이다. '거져받은 인생'이므로 내가 형제와 이웃을 위해 무엇을 아끼겠는가.... 주님. 저로 '빚진자의 심정'과 '거져받은 인생'을 묵상하게하시고, 형제를 진실히 사랑하게 해주세요. 아멘.
■ 감사 : 새벽을 깨우고, 미라클모닝을 할수 있어 참 감사합니다. 잠들기 전 다음날 새벽기상을 설레임으로 기다리는 마음 감사합니다. 방학기간동안 가족이 모두 건강하게 보내게 해주시니 감사합니다. 멘토와 날마다 서로 격려하며 배움의 길을 걷게 하시니 감사합니다. 문프로님과 골프에 대한 진보가 있게 해주시니 감사합니다. </t>
  </si>
  <si>
    <t>■ 말씀 암송 (9) : 마태복음 18:20 새로운 삶 - 교제  
두세 사람이 내 이름으로 모인 곳에는 나도 그들 중에 있느니라  For where two or three are gathered in my name, there am I among them.</t>
  </si>
  <si>
    <t>■ 중장기 투자 : 매수시점 판단하기, 투자 종목 선정하기, 저가 매수 놓쳤을때 추가매수하기
 - 종목 선택 기준 : 시총이 큰 중대형주 중 건실한 재무구조 선별, 기술적으로 골든 크로스 발생, 시장 중심주!
 - 상황별
   ▶하락장 : 지수 데드크로스 발생시 매우 위험. 전량 매도 바람직(지수를 이기는 종목은 없다'), 장기 하락기에는 바닥을 예측할수 없음.
                  주가 하락의 주요 요인은 '경기침체', '자연재해', 금리인상(유동성 축소)
   ▶상승장 : 지수의 대장주 위주로 반등시 반등장 시작. 반등장은 제한된 특정 섹터(시장중심주)에서 특정종목만 상승 다반사.
                  따라서, 반등장에서는 가장 뜨거운 종목에 투자 필요.
   ▶횡보장 : 일반적으로 대형주에서도 큰 수익 내기 어려움. 개별주에서 급등락 종목 빈번 출현. 철저하게 개별적 호재 이슈 종목 위주 투자 필요.</t>
  </si>
  <si>
    <t>- 지피지기 백전불태 
   독서, 투자경험, 금융공부를 통해 지피지기 하자.  
   위태롭지 않은 것이 최상의 전략 (잃지않는 투자가 최상의 전략).
 - 사랑은 마음만으로 느끼는 무형의 것이 아닌 행동으로 보여주는 유형이다. 
   (소중한 사람들에게 잘하자 - 아내, 자녀, 동역자, 친구)
 - 오늘의 관전 POINT
   베네수엘라 마두로 체포, 나비효과 관찰
   이재명 대통령 방중, 연관산업은?
   CES개막, 젠승황, 리사수 연설을 통한 인사이트 확인</t>
  </si>
  <si>
    <t>미라클모닝#079-006</t>
  </si>
  <si>
    <t>고민과 문제를 혼동하지 마라</t>
  </si>
  <si>
    <t>요한일서 4:1~12</t>
  </si>
  <si>
    <t>■ 묵상 : 나의 노력과 나의 사랑으로 타인을 사랑할 수 없다. 인간은 모두 죄인이다. 내 가족, 내 친구 정도는 애써서 사랑할 수도 있겠으나, 그 이상의 사랑은 쉽지 않다. 내 가족과 내 친구를 사랑하는 행위 자체도 '나의 유익'에 연결되어있기 때문이다. 나의 유익과 관계없는 '사랑'은 우리는 할 수 없다. 하지만, 예수님은 자기를 낮추시고, 죄로 원수된 우리를 위해 목숨을 내어주셨다. 심지어 우리는 그것을 원하지도 필요로 하지도 않았는데 말이다. 예수님의 그 사랑을 실천하는 하는 것은 나의 노력이 아니라, 예수님의 사랑이 내안에 넘칠때에만 가능하다. 내가 먼저 주님과 교제하고 주님의 사랑으로 차고 넘쳐야한다. 예수님, 당신의 사랑이 내안에 차고 넘치게 하시고, 그 사랑이 넘쳐흘러 내 삶에 속한 모든 이들에게 흘러들어가게 하옵소서. 아멘.
■ 감사 : 오늘도 미라클 모닝을 실천 할 수 있어 감사합니다. 좋은 책을 읽으며 깨달음을 얻을수 있어 감사합니다. 사랑하는 가족들이 즐거운 하루를 보내게 되어 감사합니다. 투자 공부의 즐거움을 느낄수 있어 감사합니다. 골프에 진보가 있어 감사합니다.</t>
  </si>
  <si>
    <t>■ 말씀 암송 (10) : 히브리서 10:24-25 새로운 삶 - 교제  
서로 돌아보아 사랑과 선행을 격려하며 모이기를 폐하는 어떤 사람들의 습관과 같이 하지 말고 오직 권하여 그 날이 가까움을 볼수록 더욱 그리하자  And let us consider how to stir up one another to love and good works, not neglecting to meet together, as is the habit of some, but encouraging one another, and all the more as you see the Day drawing near.</t>
  </si>
  <si>
    <t>세이노의 가르침(세이노)</t>
  </si>
  <si>
    <t>■ 10분 이상 고민하지 말라
▶“새벽에 일어나서 운동도 하고 공부를 하고 사람들을 사귀면서 최대한으로 노력하고 있는데도 인생에서 좋은 일은 전혀 일어나지 않는다고 말하는 사람을 나는 여태껏 본 적이 없다.”  〈마음 가는 대로 해라_앤드류 매튜스〉 中..
▶“우리가 하는 걱정거리의 40%는 절대 일어나지 않을 사건들에 대한 것이고 30%는 이미 일어난 사건들, 22%는 사소한 사건들, 4%는 우리가 바꿀 수 없는 사건들에 대한 것들이다. 나머지 4%만이 우리가 대처할 수 있는 진짜 사건이다. 즉, 96%의 걱정거리가 쓸데없는 것이다.”  〈느리게 사는 즐거움Don’t Hurry, Be Happy_어니 J. 젤린스키〉 中 ..
▶고민은 당신의 영혼을 갉아먹는다. 문제의 핵심을 정확히 파악하고 해결책을 찾아 그대로 실행하라. 해결책이 보이지 않으면 무시하라. 고민하나 안 하나 결과는 똑같지 않은가. 그러므로 고민은 10분만 하라. 고민과 문제를 혼동하지 마라. 고민은 마음속으로 괴로워하고 애를 태운다는 뜻이고, 문제는 해답 혹은 해결이 요구되는 상황을 의미한다. 고민이 어떤 문제에서 비롯된 것이라면 고민은 멈추고 문제를 해결하려는 쪽으로 방향을 바꾸어야 한다.</t>
  </si>
  <si>
    <t xml:space="preserve">- 작은 승리를 통해 큰 성공을 이뤄나간다. 
   중요한 것은, 작은 승리들을 '기억'하고 떠올리며 스스로를 격려하고 응원해야 함. (작은 승리는 잊기 쉽고, 기억도 잘 나지 않음)
- 구글의 제미나이 M/S 5%-&gt;18% 급증 (ChatGPT 장악력 약화)
- 엔비디아, 2027년 '로보택시' 서비스 테스트
  로보택시가 한순간 우리 삶의 일부가 될 것이다. 지금부터 관련주를 잘 키워나가야 한다. 
- TSMC 2나노 반도체 양산 시작 (전력 효율 30%, 성능 15% 개선) / 4년 연속 파운드리 가격 인상 (3~10% 인상)
 TSMC는 반도체 시장의 깔데기 같다. 결국 모든 주문은 TSMC로 향하게 된다.  </t>
  </si>
  <si>
    <t>미라클모닝#080-007</t>
  </si>
  <si>
    <t>Integrity
불리한 상황에서도 같은 기준으로 
판단하고 행동하는 사고의 일관성
신독(愼獨)
아무도 보지 않을 때도 
스스로를 속이지 않는 사람
감시가 사라진 순간에도
기준이 무너지지 않는 상태
인생의 Vision으로 삼을만한 가치다</t>
  </si>
  <si>
    <t>요한일서 4:13~21</t>
  </si>
  <si>
    <t xml:space="preserve">■ 묵상 :  로마서 8:38-39 KRV
내가 확신하노니 사망이나 생명이나 천사들이나 권세자들이나 현재 일이나 장래 일이나 능력이나 높음이나 깊음이나 다른 아무 피조물이라도 우리를 우리 주 그리스도 예수 안에 있는 하나님의 사랑에서 끊을 수 없으리라.
나를 향한 하나님의 사랑은 그 무엇으로도 끊을 수 없다. 그 사랑은 내가 마음을 열면 내안에 성령으로 거하신다. 그리고, 그 사랑으로 인해 두려움이 사라진다. 사랑에는 두려움이 없기 때문이다. 주님, 제가 두려움에 붙잡히는 것은 그어떤 이유도 아닌, 제 안에 주님을 모시고 있지 않다는 뜻입니다. 주님, 제 안에 오셔서 저와 함께 해주세요. 아멘.
■ 감사 : 오늘도 새벽에 일어나 미라클 모닝을 할 수 있게되어 감사합니다. 어제 부장님과 퇴근 후 즐겁게 스크린 골프를 치게되어 감사합니다. 온 가족이 아픈 곳 없이 건강함에 감사합니다. 미라클 모닝을 소중한 분들과 함께 공유하게되어 감사합니다. 독서를 통해 많은 배움이 있어 감사합니다. 멘토님과 날마다 교제하며 서로 격려할수 있어 감사합니다. </t>
  </si>
  <si>
    <t>■ 말씀 암송 (11) : 마태복음 4:19 새로운 삶 - 증거  
말씀하시되 나를 따라오라 내가 너희를 사람을 낚는 어부가 되게 하리라 하시니  And he said to them, “Follow me, and I will make you fishers of men.”</t>
  </si>
  <si>
    <t>■워렌 버핏이 말하는 Integrity - " 불리한 상황에서도 같은 기준으로 판단하고 행동하는 사고의 일관성 "
워렌 버핏이 말하는 Integrity는 단순한 도덕성이나 ‘착함’이 아니라, 판단 기준이 상황에 따라 흔들리지 않고 하나로 유지되는 사고 구조의 완전성을 뜻한다. Integrity의 어원은 ‘쪼개지지 않은 상태’를 의미하며, 이는 말과 행동, 보고와 선택, 성과와 책임이 하나의 기준으로 일관되게 이어져 있음을 말한다. 즉, 누가 보고 있느냐, 어떤 보상이 걸려 있느냐에 따라 기준이 바뀌지 않는 상태가 무결성이다.
지능과 추진력은 성과를 만들어내는 강력한 엔진이지만, Integrity가 없는 사람은 ‘옳음’보다 ‘유리함’을 먼저 계산한다. 그 결과 불리한 정보는 숨기고 유리한 숫자는 과장하며, 책임은 회피하고 성과는 독점한다. 이러한 행동은 조직 안의 ‘진실의 밀도’를 빠르게 붕괴시킨다. 이런 사람이 보상받는 환경에서는 구성원들이 문제 해결보다 ‘잘 보이기’에 익숙해지고, 보고는 안전한 말로 채워지며 학습과 성장은 멈춘다. 그래서 버핏은 Integrity를 조직과 자본의 복리를 지키는 최상위 리스크 관리 원칙으로 본다.</t>
  </si>
  <si>
    <t>▼국면의 대한 인지 : 미국, 중국, 한국 AI패권 정책)
▼지수 : 미국, 한국 증시 상승
▼섹터, 테마 : 현재 AI 반도체, 향후 우주, 피지컬AI
▼종목 선정 : 엔비디아, 마이크론, 센디스크, 삼성전자, 하이닉스, 한미반도체 , ETF
※시장 주도주 : AI, 반도체
   특히 범용 D램 가격 상승 전망 및 소부장주가 강세</t>
  </si>
  <si>
    <t>미라클모닝#081-008</t>
  </si>
  <si>
    <t>If you’re going through hell, 
Keep Going!
                        -윈스턴 처칠</t>
  </si>
  <si>
    <t>요한일서 5:1~12</t>
  </si>
  <si>
    <t>■ 묵상 : '승리'한다는 것. '이긴다'는 것은 상대방을 압도하는 어떤 '역량'과 '능력' 의 관점에서 생각이 되어지지만, 주님은 이 세상을 '사랑'으로 이기셨다. 주님은 '죄'를 미워하셨지만, '인간'은 사랑하셨다. 죄인을 사랑하시고 진실심으로 안타까워 하셨고, 그 죄인들이 자신을 향해 손가락질하고 돌팔매하고 십자가에 매달았지만, 오로지 '사랑'하셨기 때문에 그 모든 것을 받아들이셨다. 그리고, 십자가에서 죽으심으로 이세상을 이기셨다. 이 모든 것은 '사랑'의 힘이다. '사랑'없이는 그어떤 결심과 결단과 노력으로도 이 세상을 이길 수 없다. '사랑'없는 나의 노력과 결단이 오히려 나를 이 세상의 '노예'로, '패배자'로 이끈다. 오직 '사랑'이다. 주님, 제가 오로지 주님의 사랑안에 거하게 하시고, 충만하게 채워지게 하옵소서. 아멘.
■ 감사 : 감사할 수 없는 상황에서도 감사의 제목을 찾게해주심에 감사합니다. 매일 저녁 자녀를 축복하며 기도할수 있게 해주심에 감사합니다. 괴롭고 힘든 순간에도 옆에서 고민을 들어주고 격려해주는 소중한 분들을 만나게 하심에 감사합니다. 독서를 통해 풍성한 삶을 누리게 되고, 거장들의 삶을 배우게 되어 감사합니다. 새해 1주일 연속 미라클 모닝을 하게되어 감사합니다.</t>
  </si>
  <si>
    <t>■ 말씀 암송 (12) : 로마서 1:16 새로운 삶 - 증거  
내가 복음을 부끄러워하지 아니하노니 이 복음은 모든 믿는 자에게 구원을 주시는 하나님의 능력이 됨이라 먼저는 유대인에게요 그리고 헬라인에게로다  For I am not ashamed of the gospel, for it is the power of God for salvation to everyone who believes, to the Jew first and also to the Greek.</t>
  </si>
  <si>
    <t xml:space="preserve">■배움
- 훌륭한 화가는 자기 그림이 마음에 들 때까지 붓을 놓지 않는 법이다. 당신 역시 자신이 알고 있는 지식수준에 스스로 흡족할 때까지 공부하고 노력해라. 스스로 얻게 되는 뿌듯함, 내가 여기까지 알게 되었구나 하는 벅찬 기쁨, 이런 것들을 소중히 여길 때 스트레스는 사라진다.
- 뭘 배우든지 간에, 뭘 하든지 간에, 미친 듯이 피를 토하는 마음으로 제대로 하여라. 그렇게 할 때에야 비로소 미래는 그 암흑의 빗장을 서서히 열어 주기 시작할 것이며 조만간 그 빗장 너머에서 비치는 강렬한 태양빛 아래에서 당신은 감격의 눈물을 흘리게 될 것이다.
- 나이에 상관없이 제일 먼저 배워야 할 것은 EXCEL이다. EXCEL을 배워야 하는 이유는 돈과 관련된 데이터를 처리할 수 있는 유용한 프로그램이기 때문이다. </t>
  </si>
  <si>
    <t>■ 찰리멍거의 격자 모형투자 
     : 다양한 정신적 모형을 가진 사람이 상대적으로 예측을 더 잘한다. 
① 개념 – 투자는 사고의 구조다
찰리 멍거의 격자모형(Latticework)은 단일 이론이 아닌 ‘다중 사고 모델’을 엮어 투자 판단을 내리는 구조적 사고 프레임이다. 숫자나 차트보다, 인간 심리·경제 구조·확률·역사 패턴을 동시에 고려해 판단 오류를 최소화하는 데 목적이 있다.
② 구조 – 여러 학문의 핵심 원리를 동시에 적용
경제학, 심리학, 통계, 물리학, 생물학, 역사 등 다양한 학문의 핵심 원리를 머릿속 격자처럼 연결해 한 종목을 입체적으로 검증한다. 하나의 관점이 아닌 다수의 관점으로 동시에 판단함으로써 구조적 리스크를 걸러낸다.
③ 본질 – ‘크게 틀리지 않기 위한’ 생존 프레임
격자모형의 본질은 높은 수익이 아니라 ‘치명적인 실수 방지’에 있다. 멍거는 좋은 투자를 “똑똑한 판단이 아니라, 덜 틀리는 구조”라고 정의했다.</t>
  </si>
  <si>
    <t>【The FIVE】#082-009</t>
  </si>
  <si>
    <t>요한일서 5:13~21</t>
  </si>
  <si>
    <t xml:space="preserve">■ 묵상 : 하나님. 저는 연약합니다. 배운 바 위에 바르게 섰다고 생각할때 또 다시 무너집니다. 하지만, 이것이 제 모습입니다. 그리고, 주님은 이것 마저도 인정해주시고, 우리가 아직 죄인 되었을 때에 조차 원수된 우리를 위해 십자가에 자기를 내어주셨습니다. 모든 연약함을 체휼하신 주님의 사랑이 오늘도 저를 위로해주시고, 격려해주십니다. 넘어져도 그자리에 주저앉지 않고 다시 일어서면 됩니다. 오늘 다시 일어나서 앞으로 걷겠습니다. 임만누엘하시는 주님께 영광을 돌리는 삶 되게 하옵소서. 아멘.
■ 감사 : 멘토님과 함께 '미라클 모닝'을 우리만의 새로운 브랜드로 만들게 되었습니다. 【THE FIVE】 - 바로 새벽을 깨우는 5시의 기적입니다. 【THE FIVE】를 실천하려면 일찍 잠들어야 합니다. 일찍 잠들고, 일찍 일어나 아침의 고요한 시간으로 하루를 승리로 시작합니다. 직장인으로서 새벽을 깨우는 일은 쉬운일은 아니지만, 쉽지 않기 때문에 더더욱 성취감과 이를 통해 얻는 열매가 값집니다. 【THE FIVE】를 매일 실천하게 되어 감사합니다. </t>
  </si>
  <si>
    <t>■ 말씀 암송 (13) : 로마서 3:23 그리스도를 전파함 - 모든 사람이 죄를 범함  
모든 사람이 죄를 범하였으매 하나님의 영광에 이르지 못하더니  for all have sinned and fall short of the glory of God</t>
  </si>
  <si>
    <t>■</t>
  </si>
  <si>
    <t>【The FIVE】#083-010</t>
  </si>
  <si>
    <t>노정택(盧正澤) → 노정택 (奴定擇)
'섬기는 자'로 정하여 택함받은 종
'섬기는 자'로서의
삶을 살기로 결단합니다</t>
  </si>
  <si>
    <t>요한이서 1:1~13</t>
  </si>
  <si>
    <t xml:space="preserve">■ 묵상 : 성도는 하나님의 계명대로 진리를 행하는 사람이며, 이는 사랑의 실천으로 드러난다.  '진리'는 결국 하나님의 '사랑'이기 때문이다. '사랑은 모든 것을 덮어 주며, 모든 것을 믿으며, 모든 것을 바라며, 모든 것을 견딥니다_고전 13:7' 하나님, 주님의 두려움 없는 사랑을 제게 부어주시고, 저도 그 사랑을 다른 사람에게 흘려보낼 수 있게 되길 원합니다. 아멘.
■ 감사 : 신년 새벽기도를 통해 하나님께서 제 인생에 새로운 비전을 보여주시니 감사합니다. '섬기는 자'로 제 2의 인생을 결단하고 시작하게 하시니 감사합니다. '섬기는 자'로 살기위해 더욱 열심히 배우고 공부하겠습니다. 믿음의 사람들을 섬기고 그분들의 꿈을 함께 이루어 가겠습니다. 나의 가진 것을 보지 않고 하나님께서 가진 것을 바라보겠습니다. '내일'은 주님께 속한 시간이오니, 내일 일을 제가 걱정하지 않겠습니다. '오늘, 지금'은 주님과 동행하는 시간이오니, 주님께 온전히 집중하고, 그 인도하심에 맡기겠습니다. '어제'는 주님께서 제 인생에 행하신 놀라운 기적들로 가득차있사오니, 잊지않고 기억하고 기념하겠습니다. 제게 이 북경땅에서 멘토들을 만나게 하시고, 멘토를 통해 배우고 성장하게 해주셔서 감사합니다. </t>
  </si>
  <si>
    <t>■ 말씀 암송 (14) : 이사야 53:6 그리스도를 전파함 - 모든 사람이 죄를 범함  
우리는 다 양 같아서 그릇 행하여 각기 제 길로 갔거늘 여호와께서는 우리 모두의 죄악을 그에게 담당시키셨도다  All we like sheep have gone astray; we have turned—every one—to his own way; and the Lord has laid on him the iniquity of us all.</t>
  </si>
  <si>
    <t>워런 버핏 바이블 (워런 버핏)</t>
  </si>
  <si>
    <t xml:space="preserve">■ </t>
  </si>
  <si>
    <t>【The FIVE】#084-011</t>
  </si>
  <si>
    <t>You don't have 
TIME &amp; MONEY 
because 
You don't invest 
TIME &amp; MONEY</t>
  </si>
  <si>
    <t>주일 말씀</t>
  </si>
  <si>
    <t>■ 묵상 : 인간 만든 배에는 반드시 동력을 얻는 노 또는 돛대와 방향을 잡는 키가 있다. 하지만, 노아의 '방주'에는 그 두가지가 없다. 다만, 인간이 만든 배에 없는 한 가지가 있다. 그것은 바로 '언약'이다. 하나님의 언약이 있는 노아의 방주는 하나님이 동력이고, 하나님이 방향키다. 인생의 망망대해에서 인간의 힘으로 앞으로 나가면서 방향을 정하지만, 동서남북이 어디인지 조차 모르는 우리 인간은 그저 떠돌뿐이다. 내 문제에 갖혀서, 그저 맴도는 인생일 뿐이다. 이제는 노와 키에서 손을 떼고, 하나님께 맡길 때가 되었다. '섬기는 자'로서의 삶을 살아가기 위해 주님 앞에 모든 것을 내려놓자.
■ 감사 : '섬기는 자'로서의 비전을 주시니 감사합니다. '너의 본토 친척 아비 집을 떠나 내가 네게 지시할 땅으로 가라'. 지시'한' 땅이 아니라 '할' 땅. 이직 어디로 가라고 구체적으로 알려주지 않았지만, 아브라함은 순종하고 일단 났습니다. 저도 '섬기는 자'로서의 삶을 어떻게 하면 살수 있는지, 내 처지에 그것이 가능이나 한 것인지 알지 못하지만, 일단 순종하고 떠나겠습니다.</t>
  </si>
  <si>
    <t>■ 말씀 암송 (15) : 로마서 6:23 그리스도를 전파함 - 죄와 형벌  
죄의 삯은 사망이요 하나님의 은사는 그리스도 예수 우리 주 안에 있는 영생이니라  For the wages of sin is death, but the free gift of God is eternal life in Christ Jesus our Lord.</t>
  </si>
  <si>
    <t>주식투자의 9할은 심리싸움이다(리처드L.피터슨)</t>
  </si>
  <si>
    <t xml:space="preserve">■ “인간을 궁지로 몰아넣는 것은 무지가 아닌 잘못된 확신이다.”  - 마크 트웨인
감정이란 뇌의 신호등과 비슷하다. 기회인지 위험인지를 고민해야 할 때 감정은 리스크를 감수하고 전진해야 하는지(흥분), 조심스럽게 진행해야 하는지(주의), 중단하고 후퇴해야 하는지(두려움)를 알려준다. 이러한 감정은 ‘선행 반응’이다. 감정은 개개인이 위협이나 기회에 준비하도록 도와주며, 생각과 행동을 조합해 위험을 피하거나(손실 회피) 아니면 기회를 향해 나아갈 때(보상추구) 가장 중추적인 역할을 한다.
하지만, 두려움에 빠진 투자자에게 왜 손해를 보면서 주식을 파느냐고 물어봐도 그들은 “무섭기 때문이다.”라고 대답하지는 않는다. 대신에 그들은 부정적인 경제 상황을 들먹인다. 감정적인 투자자들은 사실이 아니라 감정으로 유발된 인지 왜곡이, 자신들의 투자 전망을 주도한다는 사실을 알아채지 못한다.
감정으로 인한 '인지왜곡'은 감정이 좋을때, 나쁠때 모두 나타나 합리적 판단을 방해한다.  따라서, 감정(심리)를 잘 이해해야 좋은 투자를 할수 있다. </t>
  </si>
  <si>
    <t>【The FIVE】#085-012</t>
  </si>
  <si>
    <t>감정과 태도를 구분하자</t>
  </si>
  <si>
    <t>마태복음 1:1~17</t>
  </si>
  <si>
    <t>■ 묵상 : 하나님의 구원의 역사는 하나님께서 정하신 때에 이루신다. 그 때가 언제인지는 하나님만 아신다. 내 삶에 역사하시는 하나님께서는 나의 때에 계획하신 일들을 하신다. 나의 때에 모든 것을 다 이루고 싶은 욕심을 내려 놓고, 하나님께의 인도하심을 순종하며 따라가자. 간절히 바라기는 나와 나의 후손들이 믿음의 계보를 잇고 하나님의 구원역사에 쓰임받는 집안이 되길 원합니다. 아멘. 
■ 감사 : 【The FIVE】를 통해 배우고, 기록하고, 나누는 삶을 살아가게 하시니 감사합니다. '섬기는 자' 로 사는 인생비전을 주셔서 감사합니다. '섬기는 자'로 살수 있도록 금융투자공부와 독서라는 강력한 무기를 주시니 감사합니다. 골프에 진보가 있어 감사합니다. 매일 밤 하민이에게 마사지와 축복기도를 할 수 있어 감사합니다.</t>
  </si>
  <si>
    <t>■ 말씀 암송 (16) : 히브리서 9:27 그리스도를 전파함 - 죄와 형벌  
한번 죽는 것은 사람에게 정해진 것이요 그 후에는 심판이 있으리니  And just as it is appointed for man to die once, and after that comes judgment</t>
  </si>
  <si>
    <t>■“시장이 항상 효율적이라면 나는 동냥 그릇을 들고 거리에서 구걸이나 하는 신세가 되었을지도 모른다.” - 워런 버핏
 - 대다수 투자자는 이기는 주식은 너무 일찍 팔고, 지는 주식은 너무 오랫동안 보유한다. 
 - 개인의 행동 오류를 이해하면 투자자 본인의 투자 결정 능력을 향상하는 데 도움이 될 수 있지만, 그럴지라도 집단의 행동 역학을 제대로 
   이해하는 것이야말로 시장을 상회하는 수익을 거두는 열쇠다. 개인의 행동오류와 개인이 모인 집단의 행동 역학을 이해해야한다. 
 - 단기적인 성공과 주위의 찬사가 실제로 성공 투자의 걸림돌로 작용한다. 
 - 돈이 걸린 문제에서는 감정이 이성을 쉽사리 압도한다.</t>
  </si>
  <si>
    <t>■ My Strategy
- 한주간 실적발표의 상황 모니터링, 전체적인 시장의 방향 체크 
- 보유주식의 포트폴리오 보완 방안 
- 감정과 태도를 구분하고, 컨디션을 최상으로 끌어올릴 수 있는 루틴을 확보 ( The FIVE를 중심에 두고 삶의 패턴 조정)</t>
  </si>
  <si>
    <t>■ 멘토와 함께하는 【The FIVE】 :  기분(감정)과 태도를 구분하라
 - 기분(감정)은 마음에서 우러나는 통제불가의 영역
 - 태도는 내 선택의 영역 → 기분이 태도를 결정짓지 않도록 해라. 
 - '표현되는 감정'(=태도)는 '내 책임'이다
 - 태도는 나의 '컨디션'에 의해 영향을 받는다. 
 - 컨디션을 언제나 최고로 유지하자. (수면, 운동, 영양, 관계, 성장, 만족, 행복)</t>
  </si>
  <si>
    <t>【The FIVE】#086-013</t>
  </si>
  <si>
    <t>Key Word</t>
  </si>
  <si>
    <t>마태복음 1:18~25</t>
  </si>
  <si>
    <t xml:space="preserve">■ 묵상 : 요셉은 마리아가 임신한 사실을 알았을 때, 전통과 사람들의 시선에 얽매이지 않고, 하나님의 천사가 말해준 뜻에 따랐습니다. 이런 일이 내게 일어났을 때, 나는 요셉처럼 할 수 있었을까? 신앙생활과 'Real Life' 사이에는 언제나 큰 간극이 있다. 생계유지를 위해 직장을 다니지만, 직장에서는 하나님의 법이 통하지 않는 것 같다. 이 간극을 좁히고, 내 모든 삶에 하난님이 간섭하시고, 역사하시도록 해야한다. 그러기 위해서는, 하나님께서 내 모든 삶의 영역에 주관자이시고, 인도자이시고, 보호자 되심을 인정하고,   Real Life에서도 하나님의 뜻이 이루어지도록 그분의 뜻에 따라 살아가야한다. 주님, 뜻이 하루에서 이루어진 것과 같이 나의 Real Life에서도 이루어지길 기도합니다. 아멘.
■ 감사 : 어제 업계 관계자들과 만나 즐거운 시간을 나누고, '책을 읽는 삶'에 대해서 소개하고 나누게되어 감사합니다. 오늘도 [The Five]를 실천하게 되어 감사합니다. 지점장회의 일정이 잡혔는데, 잘 준비하도록 지혜를 주세요. </t>
  </si>
  <si>
    <t>■ 말씀 암송 (17) : 로마서 5:8 그리스도를 전파함 - 그리스도가 형벌을 받음  
우리가 아직 죄인 되었을 때에 그리스도께서 우리를 위하여 죽으심으로 하나님께서 우리에 대한 자기의 사랑을 확증하셨느니라  but God shows his love for us in that while we were still sinners, Christ died for us.</t>
  </si>
  <si>
    <t xml:space="preserve">■ '후회'에 대한 두려움이 '수익은 짧게, 손실은 길게' 만든다.
- 행동재무학 연구에서 가장 흔하게 보이는 편향 가운데 하나는 성공적인 주식보다 실패한 주식을 더 오래 보유하려는 성향이다. 다시 말해 대다수 투자자는 ‘실패한 주식은 계속 보유하고, 이익을 본 주식은 금세 팔아 버린다.’ 이것을 ‘처분 효과’라고 한다. 실패한 주식을 파는 것은 잘못을 인정한다는 뜻이나 다름없다. 잘못했다고 느끼는 순간 고통스런 후회가 밀려온다. 후회를 피하려는 마음에 투자자는 언젠가는 주가가 반등해, 처음의 매수 결정이 옳았음이 증명되리라고 희망하면서 패배하는 주식을 계속 보유한다. 반대로, 투자자들은 주가가 곧 내려가 이익이 줄어들게 되고, 결국에는 기회가 있을 때 이익을 챙기지 못한 것을 후회하게 될지도 모른다는 두려움에, 성공적인 주식은 금세 팔아 치운다. 따라서 주가가 오르든 내리든, 투자자들은 후회하지 않기 위해 곧잘 편향된 결정을 내린다.
    ▶'손실은 짧게, 수익은 길게' 가져가기 위해서는 '후회'에 대한 두려움을 극복해야 한다. 특히 '실패한 주식을 오래 보유하는 것'은 재투자의 기회마져 앗아간다. 주식시장은 '파도'와 같다. 무한한 상승하락의 반복이다. 끊임없는 기회와 위험이 있다. 따라서, 언제나 기회는 주어진다. '이번엔 실패'했어도 다음에 또 기회가 있으므로, 기회를 잡기위해 빠른 '손절'이 필요하다. 결국 주식투자의 9할은 '심리싸움'이 맞다. </t>
  </si>
  <si>
    <t>■ 멘토와 함께하는 【The FIVE】
- 내가 되고싶은 나의 모습에 집중하자
- 부정적인 사람은 나의 에너지 도둑이다
  ▶'경제적 자유'와 함께 '관계의 자유'도
     반드시 필요.
- 나 자신에게 좋은 친구가 되어주자
  ▶기분을 알아주자
  ▶나를 위로해주자
  ▶나를 격려해주자
  ▶나의 기쁨 포인트, 슬픔 포인트는?</t>
  </si>
  <si>
    <t>【The FIVE】#087-014</t>
  </si>
  <si>
    <t>잡초는 과감히 뽑고
피어나는 꽃에 물을 주자
각양 각색의 꽃이 핀
나의 정원을 기대해 본다</t>
  </si>
  <si>
    <t>마태복음 2:1~12</t>
  </si>
  <si>
    <t xml:space="preserve">■ 묵상 : 신앙인이라면 당연히 '말씀'을 따라 선택해야 한다고 말하겠지만, 실제 삶속에서 실천하기는 참 어려운 일이다. 나의 의지로는 쉽지 않은 일이다. 결국, 내가 선택한다기 보다는, 내 안에 성령님께서 나를 권면하고, 선한 것을 선택하도록 이끄신다. 그래서 우리는 '선택을 어떻게 할것인가'에 초점을 두기 보다는 '성령충만'에 초점을 두가 삶을 살아가야 한다. 내안에 충만히 거하시는 성령님은 때에 따라 감동을 주시고, 선한 길로 이끄신다. 성령님, 제 안에 충만히 거하여 주시고, 매 순간 제 삶을 인도해주세요. 아멘.
■ 감사 : 중요한 물건을 잃어버렸다가 포기하던 순간에 다시 찾았습니다. 감사합니다. 아들 하민이와 친밀한 관계를 유지함에 가사합니다. 2/5(목) 상반기 지저장회의가 북경에서 진행되는데, 잘 준비하여 본사 및 지점장들과 유의미한 결과를 도출하기 원합니다. 절친 준호가 목요일에 북경에 출장을 오는데, 만남이 기대되어 감사합니다. 어제 한국에서 의사를 하시며 금융투자도 하시는 민욱님과 읽고 있는 책 관련하여 카톡으로 교제하였습니다. 소중한 사람들과 연을 이어가게 되어 감사합니다.   </t>
  </si>
  <si>
    <t>■ 말씀 암송 (18) : 베드로전서 3:18 그리스도를 전파함 - 그리스도가 형벌을 받음  
그리스도께서도 단번에 죄를 위하여 죽으사 의인으로서 불의한 자를 대신하셨으니 이는 우리를 하나님 앞으로 인도하려 하심이라 육체로는 죽임을 당하시고 영으로는 살리심을 받으셨으니  For Christ also suffered once for sins, the righteous for the unrighteous, that he might bring us to God, being put to death in the flesh but made alive in the spirit,</t>
  </si>
  <si>
    <t xml:space="preserve">■ 주식투자의 9할은 심리싸움이다 - 전체적인 감상
“실적이 좋은 기업을 팔고 성과가 형편없는 종목을 좇는다면, 이는 잡초에 물을 주고 꽃을 쳐내는 것과 다름없다.”  - 피터 린치
“내가 다른 트레이더보다 뛰어난 것은 아니다. 단지 실수를 남들보다 빨리 인정하고 다음 기회로 옮겨갈 뿐이다.”  - 조지 소로스
▶'용두사미'..페이지를 넘길수록 기대감보다는 뻔하다는 실망감이 컸다. 마치 심리학 박사를 초빙하여 서비스업 직원들 대상으로 '미소의 중요성' 을 강의하는 느낌이다. 사실, 미소가 왜 중요한지 지식적으로 아는 것과, 실제 미소를 짓는 것은 별개의 문제다. 차라리, 개그맨을 초빙하여 강의시간 내내 직원들을 웃겨줬다면 그것이 더 효과적인 '미소' 수업이 아닌가 싶다. 이 책에서는 우리가 느끼는 감정을 전문 용어와 예시로 설명해주려고 했지만, 그래서 그 감정을 어떻게 '컨트롤'하고 '훈련'할 것인가에 대해서는 별다른 해법을 제시하지 못한다. '두려워하지 마라' 와 같은 뻔한 이야기로 급히 마무리 되는 느낌이다. 각 챕터가 시작할때 제시하는 유명인의 격언 한구절이 책내용보다 오히려 더 유익한 느낌이다. 이 책은 크게 추천하고 싶은 책은 아니다. </t>
  </si>
  <si>
    <t>■ My Strategy
- 방산, 전력에 대한 ETF에 진입 추진
- 수면의 질을 더 올려야함.</t>
  </si>
  <si>
    <t>■ 멘토와 함께하는 【The FIVE】
- 투자는 외부와의 싸움이 아니라 내 안의 탐욕과 두려움, 확신과 망설임을 다스리는 싸움이다
- 시장은 관심은 끊임없이 이동합니다. 투자자는 이 변화의 흐름을 읽어야 합니다
- 변화를 인정해야 현명한 투자자이다.</t>
  </si>
  <si>
    <t>【The FIVE】#088-015</t>
  </si>
  <si>
    <t>의도적인 리스크 감수를
위해서는 '용기와 확신'이 필요하다
'용기'는 배움에서 나오고,
'확신'은 축적된 지식에서 완성된다
[THE FIVE]
용기와 확신이 자라나는
훈련의 과정!</t>
  </si>
  <si>
    <t>마태복음 2:13~23</t>
  </si>
  <si>
    <t>■ 묵상 : 고난은 외부 환경에 의한 고난이 있고, 또 내가 부족하고 연약해서 오는 고난이 있다. 업무와 같이, 내 부족함으로 인해 받는 고난(어려움)을 고난이라고 할 수 있을까? 하나님, 저의 연약함 마저도 아시고 사용하기 원하시는 주님....그저 마른 막대기에 불과한 저를 부르시는 주님. 종이 여기 있사오니 섬기는 자로 사용하옵소서. 아멘.
■ 감사 : 심리적 압박 속에서도 [The FIVE] 를 지속하게 하시니 감사합니다. 어제 오랜만에 모인 여행업계 스크린 모임이 잘 진행되어 감사합니다. 스크린에서 라베(-2) 성적을 기록하게되어 감사합니다. 오늘 해야할 일들이 상당히 많은데, 잘 처리하고 저녁 스케줄을 잘 소화할 수 있기를 기대합니다. (절친 신준호 북경 출장)</t>
  </si>
  <si>
    <t>■ 말씀 암송 (19) : 에베소서 2:8-9 그리스도를 전파함 - 선행으로 구원받지 못함
너희는 그 은혜에 의하여 믿음으로 말미암아 구원을 받았으니 이것은 너희에게서 난 것이 아니요 하나님의 선물이라 행위에서 난 것이 아니니 이는 누구든지 자랑하지 못하게 함이라  For by grace you have been saved through faith. And this is not your own doing; it is the gift of God, not a result of works, so that no one may boast.</t>
  </si>
  <si>
    <t>누구나 투자로 부자가 될 수 있다(배재규)</t>
  </si>
  <si>
    <t>- 투자는 본질적으로 수익을 얻기 위해 의도적으로 리스크를 감수하는 행위다. 따라서 리스크를 줄이는 데만 몰두하는 가치 투자보다는 미래 성장을 이끌 기업에 과감히 투자하고, 그 과정에서 동반되는 리스크를 받아들이는 것이 훨씬 더 합리적이다.
- 투자를 크게 두 단계로 나누어 설명했다. 첫째는 무엇에 투자할 것인가를 결정하는 투자 대상 선정의 ‘논리적 과정’, 둘째는 선택한 대상이 가치를 실현할 때까지 기다리는 ‘심리적 인내의 과정’이었다.
- 나는 어떻게 하면 빨리 돈을 벌 수 있는지는 모른다. 하지만 어떻게 하면 빨리 망하는지는 안다. 그것은 바로 빨리 돈을 벌려고 하는 것이다</t>
  </si>
  <si>
    <t>■ My Strategy
- 현대차 진입. 조정때 마다 저가매수 진행
- 전력/냉각, 방산, 우주, 로보틱스, 헬스케어는 ETF 로 접근</t>
  </si>
  <si>
    <t>■ 멘토와 함께하는 【The FIVE】
▶현대 자동차
- 자동차 기업이 아닌 피지컬AI 기업
- 현대차는 테슬라 대비 저평가
- 구글, 엔비디와 합작 파트터
- 주가 상승 가능성 높음
▶구글(알파벳)
- 제미나이 겔럭시AI 와 애플AI 적용
- 핸드폰 시장 독점구조 형성
- 시장 점유율 확장 가속</t>
  </si>
  <si>
    <t>【The FIVE】#089-016</t>
  </si>
  <si>
    <t>Earn more?
Learn more!
Reading is the most powerful way to learn.</t>
  </si>
  <si>
    <t xml:space="preserve">■ 감사 : 멘토와 함께 식사하며 인생과 투자, 그리고 우리의 모임 BTM과 [The FIVE]를 나누고 꿈꾸게 하시니 감사합니다. 한구에서 출장온 나의 베프 준호를 만나 함께 살아온 삶을 누나고 즐거운 시간 보내게 되어 감사합니다. 오늘 하루라는 시간이 다시 제게 주어졌습니다. 소중하게 여기고 최선을 다하겠습니다. 감사합니다. </t>
  </si>
  <si>
    <t>■ 말씀 암송 (20) : 디도서 3:5 그리스도를 전파함 - 선행으로 구원받지 못함
우리를 구원하시되 우리가 행한 바 의로운 행위로 말미암지 아니하고 오직 그의 긍휼하심을 따라 중생의 씻음과 성령의 새롭게 하심으로 하셨나니  he saved us, not because of works done by us in righteousness, but according to his own mercy, by the washing of regeneration and renewal of the Holy Spirit,</t>
  </si>
  <si>
    <t xml:space="preserve">■ 미래에 투자하라 - 지식(독서)으로 복리를 키우는 테크 중심 장기투자의 본질
지속 가능한 투자, 장기적으로 복리를 키워 나가는 투자는 무엇일까? 답은 명확하다. 현재가 아닌 미래에 초점을 맞추는 것. 인류의 발전을 과거에서 현재로, 그리고 미래로 이끌어 갈 가장 중요한 동력인 테크 기업에 투자하는 것이다.
시간이 흘러도 유효한 정보는 정보가 아니라 지식이다. 지식은 영속적이며 책 속에 있다. 축적될수록 가치가 높아지고, 다른 지식과의 상호작용을 통해 시너지를 창출해 낸다. 책을 읽어 지식을 쌓아 자신만의 지적 영역을 확보한 후에 신문기사나 리서치 페이퍼를 읽으면 보다 깊이 있는 해석이 가능하다. 기본적인 지식 축적 없이 리서치 페이퍼나 기사에 의존한 정보는 결코 가치 창출로 이어지지 않는다. 
   ▶“더 벌고 싶으면 더 읽어라(Earn more, learn more).” 여러분이 직접 이해하고 투자를 실행하고 싶다면 관련 분야의 독서를 권한다. </t>
  </si>
  <si>
    <t xml:space="preserve">■ My Strategy
- AI에 DRAM 수요가 더욱 폭발적으로 증가할 것으로 예상됨. DRAM 업체 추가 매수 추진
- 현대차...과연 CES 후광효과일까...아니면 진정한 실력자일까... 선택의 기로.
- 전력주 (블룸 에너지 6주, GE 버노바 1주) 진입. +15%까지는 비중 높이지 않고 기다리기.
- TSMC 실적발표 당일 새벽(어제) 3주 추가 진입. 실적 발표 후 급등. </t>
  </si>
  <si>
    <t xml:space="preserve">■ 멘토와 함께하는 【The FIVE】
- 워랜버핏: 나는 천재가 아니다, 다만 감정이 나를 지배하도록 두지 않았을 뿐이다
- 공포와 탐욕, 불안과 조급함을 다스리지 못하면 어떤 정보나 분석도 소용 없다 
-남의 속도가 아니라 자신의 속도로 가는 법을 배우는 일이다 </t>
  </si>
  <si>
    <t>【The FIVE】#090-017</t>
  </si>
  <si>
    <t>논에 물을 가득히 댄
농부의 마음</t>
  </si>
  <si>
    <t>마태복음 3:11~17</t>
  </si>
  <si>
    <t xml:space="preserve">■ 묵상 : '이해할 수 없는 상황'은 실제로는 매우 고통스러운 상황이다. 이해가 되지 않을 정도로, 납득하기 힘들정도의 어려움이 있다는 의미이기 때문이다. 이러한 상황에서는 보통은 나만의 방법을 찾고, 상황 탓을 하기도 하고, 원망도 한다. 하지만, 그 상황이 극단으로 치달을 수록, 그리고 내가 해결 할 수 없다는 것을 깨달을 수록... 차츰 하나님을 생각하게 된다. 하난님이 내게 왜이러실까.... 이렇게 시작이 되면 점차 하나님의 계획을 묻게되고, 기도하게되고, 이 고통속에서 하나님의 뜻을 깨닫게 된다. 그리고, 현재의 고난이 나를 위함이라는 것을 깨닫게 된다. 모든 주권을 하나님께 드리고, 감사가 넘치게 된다. 하나님... 이러한 반복훈련을 통해 언젠가는 어려움을 만났을 때, 앞의 인간적 과정은 생략하고 바로 하나님 앞에 무릎꿇게 되기를 소원합니다. 아멘. 
■ 감사 : 하나님께서 주신 비전 '섬기는 자'로서의 삶에 대해 뜨거운 열정을 갖게하시니 감사합니다. 공부하고 있는 금융투자에도 축복해주시니 감사합니다. BTM, 뭉클, 더불어00 이렇게 좋은 사람들과의 교제에 감사합니다. 어제 북경으로 출장온 준호와 깊은 교제 감사합니다. </t>
  </si>
  <si>
    <t>■ 말씀 암송 (21) : 요한복음 1:12 그리스도를 전파함 - 그리스도를 모셔야함
영접하는 자 곧 그 이름을 믿는 자들에게는 하나님의 자녀가 되는 권세를 주셨으니  But to all who did receive him, who believed in his name, he gave the right to become children of God,</t>
  </si>
  <si>
    <t>■Don’t fall in love with your stocks. 주식과 사랑에 빠지지 마라.
주식을 정체성이나 신념의 일부로 만들지 말라는 경고다. 특정 종목을 ‘내가 옳다는 증거’로 여기기 시작하면, 악재를 무시하고 손절을 거부하게 된다. 시장에서는 옳고 그름보다 대응 능력이 중요하며, 사랑은 그 대응 능력을 마비시킨다.</t>
  </si>
  <si>
    <t>■ My Strategy
- 1년간의 텃밭 농사의 결실을 보는 듯 하다. 농사를 처음 지어보면서 무엇이 잡초인지도 몰라 잡초를 정성스럽게 키우기도 했고, 또 쑥쑥 자라서 열맺를 수확할 즈음에 뿌리채 뽑아버리기도 했다. 가뭄, 홍수, 태풍, 서리....외생변수로 인해 한시도 마음을 놓을 수 없었지만, 농사일이 손에 익어가면서, 잡초도 뽑아주고, 시절에 따라 물과 거름도 주었다. 문득 1년이 되어 바라보니, 텃밭이 아름답게 잘 가꾸어졌다. 어떤 식물을 이른 봄에, 어떤 식물은 늦은 가을에 열매를 맺을 것이다. 나의 텃밭이 사랑스럽고 자랑스럽다.</t>
  </si>
  <si>
    <t xml:space="preserve">■ 멘토와 함께하는 【The FIVE】
- 노동 소득으로는 시간을 써서 돈을 벌지만, 금융 소득은 돈을 써서 시간을 사는 것이다.
- 매일의 투자, 매일의 기록, 매일의 결심이 모여, 내일의 미래를 만들어 간다 
-돈을 통해 시간을 얻고, 시간을 통해 자유를 얻는 일입니다 </t>
  </si>
  <si>
    <t>【The FIVE】#091-018</t>
  </si>
  <si>
    <t>AI라는 새로운 문명의 재편...
나의 세대에 그것을 목도할 수 
있다는 것은 엄청난 행운이다.
이 혁명은 기존의 모든 변화를
합친 것보다 인류에게 더 큰
변화를 가져다 줄 것이다. 
이 역사의 순간 속에서
나는 무엇을 해야하는가.</t>
  </si>
  <si>
    <t>마태복음 ~11</t>
  </si>
  <si>
    <t xml:space="preserve">■ 묵상 : '광야'는 하나님는 만나는 장소이면서 동시에 '사탄(유혹)'을 만나는 장소이다. 생명의 극한의 환경에서 모든 인간은 나약함을 느끼고, 하나님께 엎드리거나, 사탄에게 엎드리게 된다. 예수님은 사탄의 모든 유혹을 '말씀'으로 이겨내셨다. 지금 나도 광야에 있다. 매일같이 사탄은 나에게 유혹을 한다. 미래에 대한 불안감, 사람을 미워하는 감정, 나 자신에 대한 분노와 열등감을 부추긴다. '안목의 정욕,육체의 정욕,이생의 자랑'...  주님.어떠한 상황에서도 말씀으로 이겨낼 수 있도록 말씀과 성령이 충만하기 원합니다. 아멘.
(베드로전서1:24-25) 그러므로 모든 육체는 풀과 같고 그 모든 영광은 풀의 꽃과 같으니 풀은 마르고 꽃은 떨어지되 오직 주의 말씀은 세세토록 있도다 하였으니 너희에게 전한 복음이 곧 이 말씀이니라.
■ 감사 : 2026년 하루도 빠지지 않고 [The FIVE]를 실천하게 되어 감사합니다. 매일 Q.T를 하게 되어 감사합니다. 오늘 있다 내일 아궁이에 던져질 들풀과도 같은 허무한 인생에, 영원한 생명을 사모하게 하시니 감사합니다. 우리 가족이 주님을 섬기는 믿음의 가정 되게 해주시니 감사합니다. '섬기는 자'로서의 인생비전을 주시니 감사합니다. '섬기는 자'로서의 삶이 제가 드릴 삶의 예배라는 것을 주일 말씀으로 깨닫게 해주시니 감사합니다. </t>
  </si>
  <si>
    <t>말씀 암송</t>
  </si>
  <si>
    <t>■ The market doesn’t care about your feelings (월가 격언) 시장은 당신의 감정을 전혀 신경 쓰지 않는다.
시장은 논리나 사정을 고려하지 않으므로 감정이 아니라 확률과 데이터로 대응해야 한다.
■ 인류역사의 흐름과 기술진보
불의 발견 (생존력 강화) →농업혁명(정착과 계층분화, 조직사회구성) → 문자의 발명+인쇄술(지식 축적/전달, 인쇄술로 보편화되어 전인류의 정신적 성장과 사회적 변화 촉발) → 기하학/천문학(대항시시대와 세계화 촉발, 문명간의 충돌 진화) → 증기기관과 산업혁명(인간의 물리적 노동력 해방, 대량생산 체제 촉발, 대도시중심 경제/사회 변화, 철도/선박으로 공간제약 극복, 물류/인구의 이동 가속화) → 전기의 발명(조명을 통한 야간활동 가능으로 사회리듬 제구성, 통신 기술발달로 정보교류 혁신, 세계를 '동시적 공간'으로 연결)→ 원자력의 발명(새로운 에너지원) → 인터넷과 디지털 혁명(인류를 하나의 네트워크로 연결, 경제/사회/문화 전반을 재편) → 인공지능(AI - 또다른 문명의 재편)</t>
  </si>
  <si>
    <t>■ My Strategy
- 무한매수법을 적용한 4개의 레버리지 상품중에 지지부진한 2개를 정리함.  테슬라x2 레버리지 -10%로 정리 검토 중.
- 현대차(1.8%), 블룸에너지(0.8%), GE버노바(0.6%)진입
- 정리한 주식들은 현금으로 보유하고, 추후 총 투자그액의 10%는 현금보유 전략 적용
- 연준의장 후보의 변화 (왕비둘기에서 어디로??) 주시 필요</t>
  </si>
  <si>
    <t>■ 멘토와 함께하는 【The FIVE】
- 돈이 나를 위해 일하기 시작한 순간, 나는 진정 원하는 일에 집중할 수 있다
- 부자의 핵심은 소비를 줄이는 것이 아니라, 수입을 늘릴 수 있어야 한다는 점이다
- 시장을 이해하고 합리적인 결정을 내리려면 공부가 필수다
- 투자의 성공은 공부와 경험이 어우러질 때 비로서 완성된다</t>
  </si>
  <si>
    <t>【The FIVE】#092-019</t>
  </si>
  <si>
    <t xml:space="preserve">성공 투자는 
순간의 이익 실현에있는 것이 아닌
미래 성장에 장기투자하는 것이다. 
'정확한 방향성과 인내심'
【The FIVE】를 통해
얻을 수 있는 가장 큰 혜택이다. </t>
  </si>
  <si>
    <t>마태복음 4:12~25</t>
  </si>
  <si>
    <t>■ 묵상 : 예수님의 제자들은 '그물을 버리고' 예수님을 따랐다. 제자가 되기 위해서는 반드시 치러야할 대가가 있다. 쉬운 복음, 쉬운 제자의 삶.... 그런 것은 없다. 가짜다. 참된 제자의 길은 '내려놓음'이라는 대가를 지불해야만 비로소 시작된다. '섬기는 자'의 삶은 자기를 내려놓고 오직 예수님이 내안에 사실때 가능하다. '나'의 비전이 아니라, 예수님의 비전이다. 나를 통해 예수님께서 일하실 수 있도록 내 삶을 주님께 내어드린다. 주님, 죄인의 삶에 오셔서 인생에 비전을 주시고 가치있는 삶이 되게하시니 감사합니다. 저를 통해 이루실수 있도록 제 삶을 주님께 드리오니, 사용하여 주소서. 아멘.
■ 감사 : 주님의 제자로 사는 삶을 소망하게 하시니 감사합니다. 엑셀을 통해 누군가에게 도움을 줄 수 있어 감사합니다. 골프를 통해 여러 좋은 사람들과 교제할 수 있어 감사합니다. 화목하고 행복한 가정을 주시니 감사합니다. 두려움 속에서도 주님의 인도하심을 기대하게 하시니 감사합니다.</t>
  </si>
  <si>
    <t>■ The stock market is a device for transferring money from the impatient to the patient (Warren Buffett) 
    주식시장은 조급한 사람의 돈을 인내심 있는 사람에게 옮기는 장치다. 투자 성과의 차이는 정보가 아니라 인내심에서 나온다
■ 미래 성장에 장기 투자하라, 그리고 미래 정장은 테크기업에 있다 (M7 - 엔비디아, 마이크로소프트, 구글(알파벳), 아마존, 메타, 애플, 테슬라)
- 개별 투자보다 M7 전체에 투자하라 (ACE빅테크TOP7[465580]) 투자는 현재가 아니라 미래를 보고 해야 한다. 
- 운에 의존하는 투자는 도박과 다르지 않다. 단기 투자에서 몇 번의 성공은 근거 없는 자신감만 부추겨 잘못된 습관을 만들고, 이 습관은 장기적으로 실패로 귀결될 가능성이 높다.
- 내 돈은 반드시 성공하는 방법으로 투자해야 한다. 진정한 성공 투자의 길은 순간순간의 이익 실현에 있는 것이 아니라 “미래 성장에 장기 투자하는 것”, 그 이상도 이하도 아니다.</t>
  </si>
  <si>
    <t xml:space="preserve">■ My Strategy
- 1/21(수) SK하이닉스 실적발표. 역대 최대 실적이 예상되므로 추가 매수 검토
- 반도체 관련 주는 결국 SK하이닉스, 삼성전자, 마이크론, 샌디스크 4개로 압축된다. (비중관리 검토)
- 우주관련주에 대한 공부가 필요하다. </t>
  </si>
  <si>
    <t>■ 멘토와 함께하는 【The FIVE】
 - 마이크론 : 통뤄 부지 구매 의향서 서명, PSMC의 P5 부지 18억 달러에 매입 예정, 2027년 하반기 DRAM 생산량 증가 기대
- AST스페이스모바일(ASTS) : 주가가 급등, 미국 국방부 산하 미사일방어국 실드(SHIELD) 프로그램에서 주요 계약자로 선정</t>
  </si>
  <si>
    <t>【The FIVE】#093-020</t>
  </si>
  <si>
    <t>Wf = P x (1+r)ⁿ
투자의 모든 비밀은 
이 공식 안에 있다
비밀은 바로,
'정확한 방향성' 과 '인내심'</t>
  </si>
  <si>
    <t>■ 묵상 : 뱀이 하와를 유혹하여 선악과를 먹게 했을때, 처음에는 하나님의 말씀을 의심하게 합니다. "참의로 너희에게 '모든 나무의 열매'를 먹지 말라 하시더냐"(모든 나무) →"너희가 결코 죽지 아니하리라" .. 작은 의심부터 품게하여 하나님과의 관계를 깨트리고, 하나님과 분리된 인간을 죄인으로 타락시켰다. 세상도 마찬가지다. 믿음의 사람이 세상의 조직에 들어가면, 술한잔, 담배 한개비 를 권하며 '성경에 어디 술을 마시지 말라고 적혀있냐', '취하지 말라고 하였으니, 취하지 않을만큼은 마셔도 된다' 등 작은 유혹으로 그 뜻과 믿음에 금을 가게한 한다. 소금의 맛을 잃게 한 후에는 결국 길에 버려져 짓밟힌다. 하나님을 떠난 인생을 '육신의 정욕, 안목의 정욕, 이생의 자랑' 이라는 죄의 굴레에서 고통받게 된다. 하나님. 저로 악인의 꾀를 따르지 안하고, 죄인의 길에 서지 아니하고 오만한 자의 자리에 앉지 않게 하시고, 오직 하나님의 말씀을 즐거워하여 그 말씀을 주야로 묵상하게 하소서. 아멘. ■ 감사 : 환난중 하나님을 찾고 도움을 구하게 하시니 감사합니다. 나를 아끼고 사랑하는 여러 사람들을 주시니 감사합니다. 한치앞을 알 수 없는 상황에서도 주님께서 제 손을 붙잡아 주고 계심을 느낍니다. 감사합니다.</t>
  </si>
  <si>
    <t>■ Footprints in Books
    Wf = P x (1+r)ⁿ
    Wf: 미래의 부
      P: 현재 투자금(일시 투자 원금과 추가 투자금)
      r: 연평균 투자수익률
      n: 투자 기간</t>
  </si>
  <si>
    <t>■ 멘토와 함께하는 【The FIVE】
▶투자는 단순히 돈을 버는 과정이 아니라 배움과 성장의 여정이다
-투자는 공부로 시작해 경험으로 완성된다
-위기는 준비된 자에게는 축복이다
▶시장 구조
- AI 확산으로 반도체 → 메모리 → 데이터센터 → 원자재(구리)까지 상승 랠리가 확산
- 현대차 피지컬 AI 지속 모멘텀</t>
  </si>
  <si>
    <t>【The FIVE】#094-021</t>
  </si>
  <si>
    <t>투자에서 가중 중요한 요소는
지능이 아니라 자질이다
(자신의 감정을 다스릴줄 아는 능력)
감정적으로 흔들리지 않는 
태도를 위해 책을 읽자
'성실하게'</t>
  </si>
  <si>
    <t xml:space="preserve">■ 묵상 : 예수님은 율법이나 예언자를 없애지 않고 완전하게 하러 오셨습니다. 누구든지 계명 중에 작은 것 하나라도 어기면 하늘나라에서 가장 작다 일컬어질 것입니다. 형제에게 노하고 욕하면 지옥불에 덜져질 것이니, 형제에게 잘못 한 일이 생각나면 먼저 그와 화해한 후에 와서 예빼를 드려야합니다. 주님, 저로 주님을 닮게 하옵소서. 아멘.
■ 감사 :  나의 상태를 스스로 체크하고 대처할수 있게되니 감사합니다. 감사할 수 없는 상황에서도 감사를 찾게하시니 감사합니다. 새벽에 눈을 떠 [더파이브]를 실천하게 되어 감사합니다. </t>
  </si>
  <si>
    <t>새벽의 잠언 한장(스티븐.K스콧)</t>
  </si>
  <si>
    <t xml:space="preserve">■ Footprints in Books
 - 진정한 성실함의 힘 : 확실한 우위에 서게 된다. 상황에 휘둘리지 않고 상황을 지배한다. 진정한 성취감을 경험한다. 권위 있는 사람들에게 인정과 존경을 받는다. 필요한 것들이 채워진다. 끊임없이 이어지는 성공을 경험한다. 성실한 노력은 결국 보상을 받는다
 - 우리는 왜 게으른가? : 이기심 [“사람의 행위는 자기가 보기에는 모두 다 정직하다”(잠언 21:2)], 교만 ["게으른 사람은 지혜로운 사람 일곱 명보다 스스로를 더 낫다고 여긴다”(잠언 26:16)], 게으름은 더 큰 게으름을 부른다 [“게으른 사람은 봄이 되어도 밭을 갈지 않고 그러므로 가을이 와도 아무것도 거두지 못한다”(잠언 20:4)] 
- 진정한 성실함을 위한 4단계 : 1단계: 깨어나 현실을 직시한다 , 2단계: 자신의 꿈을 명확하게 찾는다, 3단계: 효과적인 협력 관계, 4단계: 지혜를 추구하고 그 지혜 위에 인생을 세운다 </t>
  </si>
  <si>
    <t>■ My Strategy
- 어제 테슬라X2 레버리지 상품을 정리(-10%)하고 샌디크에 추가 투입 → 샌디스크 9.5% 상승
- 블룸 에너지, 스페이스 모바일, GE 버노바 신규 진입
- 테슬라 주식이 원금까지 내려옴. 이제 테스라 비중에 대해서 고민을 시작해야하는가?</t>
  </si>
  <si>
    <t>■ 멘토와 함께하는 【The FIVE】
▶투자는 돈과 시간을 버는 방법이다
- 자산별 두배가 되는 데 걸리는 시간
 금: 연상율 3~4% → 기간 18~24년
 주식: 연 상승율 8% → 기간 9년
 부동산: 연 상승율 5% → 기간 14년
 채권: 연 상승율 3% → 24년
 적금: 연 상승율 4% → 18년
 예금: 연 상승율 3% → 24년</t>
  </si>
  <si>
    <t>【The FIVE】#095-022</t>
  </si>
  <si>
    <t>나의 가치를 높이자
친절함
진실함
관대함
상냥함</t>
  </si>
  <si>
    <t>마태복음 5:27~37</t>
  </si>
  <si>
    <t xml:space="preserve">■ 묵상 : 인간이 벗어나기 어려운 죄의 범위. '육신의 정욕, 안목의 정욕, 이생의 자랑'. 하지만, 인간에게는 이 세가지를 통제할 힘이 없다. 눈을 뜨고 있으면, 보이고, 보이면 생각하게 되고, 마음에서 악한 것들이 솟구친다. 어떤 사람은 그것을 극복하기 위해 고행을 하기도 하지만, 그것은 끓어 넘치는 솥을 뚜껑을 눌러 막아보려고 애쓰는 꼴이다. 이것이 바로 '죄인'으로서의 인간이다. 인간은 그 누구도 스스로 구원 받을 수 없는 존재이다. 그저 자신이 죄인이며, 스스로 구원받을 수 없음을 인정하고 주님께 나아갈 수밖에 없다. 주께서 우리의 짐을 대신 지셨고, 구원의 기쁨을 회복시켜 주시고, 하나님과 함께 동하게 해주신다. 주님. 죄인의 인생에 찾아와 주시고, 구원의 기쁨을 회복시키시고, 하나님과 동행하게 하시니 감사하니다. 아멘.
■ 감사 : 매일 새벽 기쁜 마음으로 일어나게 하시니 감사합니다. [The FIVE]를 통해 많은 배움과 경제적인 혜택을 누리게하시니 감사합니다. 멘토와 독서를 통해 공부하게 하시니 감사합니다. 가족들에게 여행의 기쁨을 줄수 있어 감사합니다. </t>
  </si>
  <si>
    <t>■ Footprints in Books
 - 행복의 걸림돌을 뛰어넘는 법 : 감사하는 마음을 키운다. 나에게 받을 자격이 있다는 생각을 버린다. 질투의 씨앗을 제거한다
 - 나의 가치를 높이는 네가지 덕목
   친절함과 진실함,  가치를 따질 수 없는 보물 
   관대함, 주는 것보다 더 많은 것을 받는 지혜
   상냥함,  자연스럽게 나를 높이는 소프트파워</t>
  </si>
  <si>
    <t>■ My Strategy
- 역대 최대 실적 경신
- AST 스페이스모바일 -8% 하락, 일부 추가 매수
- AI산업 중심 포트폴리오 완성, 당분간 현상 유지하며 변동성 모니터링
- 차트에 집중하지 말고 독서와 미래 전망에 집중하자</t>
  </si>
  <si>
    <t>■ 멘토와 함께하는 【The FIVE】
-투자란 단지 숫자의 게임이 아니라, 끊임없이 배우고 성장하는 과정
- 자신의 목표와 투자 성향에 맞는 전략을 세우고 이를 실행하자
- 강세장은 위험자산 비중을 높이고, 약세장에서는 안전자산의 비중을 늘리는 전략이 유효 할 수 있다
 ▶위험자산: 주식, 암호화폐, 원자제
 ▶안전자산: 금, 국채, 현금</t>
  </si>
  <si>
    <t>【The FIVE】#096-023</t>
  </si>
  <si>
    <t>탐욕을 멀리하고
평강을 가까이!!!</t>
  </si>
  <si>
    <t>마태복음 5:38~48</t>
  </si>
  <si>
    <t xml:space="preserve">■ 묵상 : 주님은 율법에서 요구하는 것보다 높은 차원의 삶을 요청하신다. 세상의 기준과 다른 기준을 갖고 살아야한다. 원수를 사랑하고 핍박자를 위해 기도하기까지. 세상의 기준을 따른다면결코 예수님의 길을 따를 수 없다. 의로운 자와 불의한 자 모두에게 비를 내리시는 하나님처럼, 우리도 하나님의 성품을 닮아가야 한다. 주님. 이번 훈련 코스는 이것인가요. 원수를 사랑하고, 핍박하는 자를 위해 기도하기까지.... 주님의 길을 따르기 원합니다. 저의 힘으로는 할수 없사오니, 성령님 인도해주세요. 아멘. 
■ 감사 : '섬기는 자'로서의 비전을 주시고 날마다 그 마음을 새롭게 하시니 감사합니다. 두 자녀가 사랑으로 성장하게 해주시니 감사합니다. </t>
  </si>
  <si>
    <t>성경에서 배우는 주식투자(유재혁)</t>
  </si>
  <si>
    <t xml:space="preserve">■ Footprints in Books : 주식투자에 대한 성경적 고민
- 주식투자 자체가 좋은 것인지 나쁜 것인지 묻는다면 그것은 어리석은 질문이다. 이것은 마치 돈이 좋은 것인가 나쁜 것인가라고 묻는 것과 비슷하다. 주식투자는 투기도 아니고 도박도 아니다. 매일 돈을 벌고 쓰며 살면서 돈 자체가 악한 것이라고 말한다면 그것은 성립될 수 없는 논리일 뿐이다. 투자도 비즈니스의 한 형태다. 자본이 필요한 곳으로 흘러가도록 하는 일이 주식투자며, 투자자와 기업이 협업하여 열매를 나누는 것이 주식투자의 근본 이치다. 주식투자가 성경적으로 옳은가 아닌가를 묻는 것은 문제의 핵심을 벗어난 질문이다. 오히려 우리는 주식투자를 한다면 어떻게 하는 것이 성경적으로 합당하며 또 지혜로울지를 고민해야 한다. 꾸준한 수익으로 보람을 느낄 수 있고 삶에 경제적 안정감을 만들어 주는 투자가 성경의 가르침을 따라갈 때 기대할 수 있는 지혜로운 투자의 모습이다. 성경이 가르치는 지혜로운 투자는 탐욕을 멀리하고 평강을 가까이 둘 수 있는 투자다. 신앙생활이 종교생 활을 의미한다면, 생활신앙은 세상에서 살아가는 신앙인의 삶을 의미한다. 탐욕을 멀리하고 겸손과 지혜로 투자하자.
</t>
  </si>
  <si>
    <t>■ My Strategy
- 트럼트는 시장만을 두려워한다. 
- 미 정부 셧다운이 또 다가온다고 하는데, 영향을 미리 분석하자
- 베네수엘라 → 그린란드 → 다음은 '쿠바'? 미리 전망해보자
- 현대차 아틀라스 관련 노조의 반발 영향력은 얼마나 될까?</t>
  </si>
  <si>
    <t xml:space="preserve">■ 멘토와 함께하는 【The FIVE】
공부는 자신감을 준다. 공부를 통해 쌓은 지식은 시장이 폭락하는 상황에서도 흔들리지 않는 투자 신념을 만들어준다 
-  투자 공부는 마라톤과 같다, 꾸준히 조금씩 진행하는 것이 효과적이다 
- 시장 타이밍을 맞추려하지 말고, 좋은 기업에 투자해 오래 보유하라 
- 평생 직장은 사라지고, 소득 불평등화는 심화되고, 기술 변화는 가속화 된다 </t>
  </si>
  <si>
    <t>【The FIVE】#097-024</t>
  </si>
  <si>
    <t>오늘의 시장은 어제까지 준비했던
사람들의 '시간'에 대한 보상이다.
'시간'을 레버리지로
극대화 하자
'정확한 방향성'과 '인내심'으로
시간을 내 편으로 만들자</t>
  </si>
  <si>
    <t>마태복음 6:1~15</t>
  </si>
  <si>
    <t xml:space="preserve">■ 묵상 : 구제는 자기 선전이 아닌, 하나님 영광을 위한 선행이어야 합니다. 진정한 영성은 보이지 않는 곳에서 가치를 드러낸다. 기도는 하나님을 설득하는 것이 아니라, 우리의 모든 사정을 이미 아시는 하늘 아버지를 신뢰하고 그분과 나누는 친밀한 교제입니다. 주님, 기도를 통해 참된 교제를 하기 원합니다. 저로 매일 정해진 시간에 기도하는 습관을 갖게 하소서. 아멘. 
■ 감사 :  자녀들과 토요 새벽기도를 함깨 드릴수 있어 감사합니다. 미향이의 베프 기연이 아버님께서 소천하셨는데, 미향이가 장례식에 참석할 수 있게되어 감사합니다. '삶'과 '믿음'이 일치가 되고자 하는 마음을 주시니 감사합니다. 멘토와 독서와 투자를 함께 공부할 수 있어 감사합니다. 상반기 지점장회의 준비로 심적 부담이 있는 가운데서도, 주님의 인도하심을 구하게 하시니 감사합니다.  </t>
  </si>
  <si>
    <t>비겁한 돈(황현희)</t>
  </si>
  <si>
    <t xml:space="preserve">■ Footprints in Books
- 많은 사람들이 ‘시간’이 아닌 ‘시기’에 매몰되고 있는 지금이야말로, 시간이 중요하다는 이 단순한 본질이 가장 필요한 때라고 확신하기 때문이다. 모든 목적은 그것을 이루기 위한 시간이 필요하다. 우리는 아직 충분한 시간을 투자에 사용하지 않았다. 이제부터라도 부자가 되는 목적을 이루기 위해 돈이 아닌 시간을 사용하겠다고 다짐해야 한다. 시간은 양적으로 평등하나 질적으로 평등하지 않다. 오늘까지의 시장은 어제까지 준비했던 사람들의 시간에 대한 보상이다. 
- 결국 투자는 오롯이 혼자 하는 일이다. 자신의 투자는 결국 자신의 생각으로 만들어가야 한다. 따라서, 바로 '지금', '시간'을 사용해서 '투자'에 사용해야한다. </t>
  </si>
  <si>
    <t>■ 멘토와 함께하는 【The FIVE】
- 미국 국무장관 콜린 파원 장군
       [ P=40~70 ]
       P : 성공가능성
   숫자 : 결정에 필요한 정보량
→정보범위가 40~70사이에 든다고 판단된다면 일단 추진. 40미만은 행동을 취하지 않고, 반대로, 70이상의 확실한 정보를 기다리면 기회를 놓칠 수 있다.</t>
  </si>
  <si>
    <t>【The FIVE】#098-025</t>
  </si>
  <si>
    <t>Can't Predict
But,
Can Prepare!</t>
  </si>
  <si>
    <t>마태복음 6:16~24</t>
  </si>
  <si>
    <t xml:space="preserve">■ 묵상 : 신앙은 하나님과 나, 둘만의 깊은 관계이다. 다른 사람들에게 나의 신앙이 '좋다, 나쁘다'를 인정받으려 하는 것은 자칫 위선적이고 거짓된 신앙으로 변질 될 수 있다. 하나님과 나의 관계가 얼마나 친밀한지, 얼마나 깊은지는 자기 자신만이 알수 있는 것이다. 주님, 제가 보이지는 모습에 현혹되지 않고, 주짐과의 개인적인 깊은 관계를 유지할 수 있게 성령 충만하게 하옵소서. 아멘. 
■ 감사 : '뭉클'이라는 건강한 모임을 함께 할 수 있어 감사합니다. [더파이브]를 통해 공부하고 성장할 수 있어 감사합니다. 감사합니다. 고맙습니다. </t>
  </si>
  <si>
    <t>■ Footprints in Books
 - 이 책에서 말하는 '비겁한 돈'의 의미는 우리가 흔히 쓰는 '겁 많고 소극적인' 의미가 아니고, 오히려 '돈 앞에서 감정과 허영을 내려놓고, 이길 수 있는 싸움만 선택하는 태도'를 말한다. 책 전반적으로 투자를 막 시작하는 사람들을 위해 시장에 함부로 뛰어들지 말고, 한발 물러나 시장을 볼줄 아는 실력을 먼저 키울 것을 권한다. 투자에 대한 특별한 스킬이나 지식적인 면보다는, 마인드셋 위주의 이야기로 가볍게 읽어나갈 수 있다. 나도 언젠가 투자로 성공한다면, 나의 노하우를 정리하여 책으로 엮어보고 싶다.</t>
  </si>
  <si>
    <t xml:space="preserve">■ 멘토와 함께하는 【The FIVE】
- 투자에 성공하려면 나만의 전문 분야를 개발해야 한다. 대가는 대부분 매우 한정된 분야의 투자만을 고집한다 
▶'내가 이해할 수 없는 기업에는 절대 투자하지 않겠습니다' (워렌버핏)
▶'경제라는 것은 가르칠 수 없는 것으로, 스스로 체험하고 살아남아야 한다'
(앙드레 코스톨라니)
</t>
  </si>
  <si>
    <t>【The FIVE】#099-026</t>
  </si>
  <si>
    <t xml:space="preserve">Unshakeable!
Undeniable!
Irrepalceable!
통제할 수 있는 것을 통제하라
</t>
  </si>
  <si>
    <t>마태복음 6:25~34</t>
  </si>
  <si>
    <t>■ 묵상 : 생계와 관련된 것은 인간에게 매우 중요한 '생존'의 문제이다. 하지만, 주님께서는 '생존의 문제'에 대해서 '걱정' 하지 말고 '기도' 하라고 하신다. '일상의 필요와 고민'을 묵상하지 말고 '하나님'을 묵상하라고 하신다. '생존의 고민'을 넘어 '사명'의 자리로 가자 하십니다. 주님, 천지를 창조하신 주님을 믿는다면, 그리고 그러 주님이 저를 자녀삼아주셨다는 것을 믿는다면, 그리고 주님이 저를 사랑한다는 것을 믿는다면.... 결국 모든 답은 '믿음'에 있습니다. 나의 힘으로는 되지 않습니다. 성령님, 제 안에 충만히 거하시고 저로 믿음의 길을 걷게 하옵소서. 아멘.
■ 감사 : 오늘도 즐겁고 기대되는 하루가 될수 있어 감사합니다. 소유 가족과 함께 즐거운 식사와 교제의 시간을 갖게되어 감사합니다. 나눔을 통해 서로 공부하고 성장하는 모습을 격려할수 있어 감사합니다. 골프에 큰 성취가 있어 감사합니다. 독서의 즐거움을 주셔서 감사합니다. 오늘도 최선을 다해서 하루를 보내도록 하겠습니다. 감사합니다. 고맙습니다.</t>
  </si>
  <si>
    <t>흔들리지 않는 돈의 법칙(토니로빈스)</t>
  </si>
  <si>
    <t xml:space="preserve">■ Footprints in Books : 
- 흔들리지 않는 - Unshakeable : 부동의, 확고한 자신감, 진리에 대한 불변의 공약, 자존감, 마음의 평화, 폭풍 속에서도 편안
- 투자의 가장 큰 적이 감정이라는 사실만 숙지한다면, 개인투자자도 ‘시장’과 노련한 ‘자산관리사’를 능가하는 성과를 내는 전략을 구상할 수 있다.
- 부란 그 자체로 목적이 아니라 보다 뜻깊은 삶을 성취하는 데 필요한 중요한 요소일 따름이다. 
- 무엇보다 내가 금융 대가들로부터 배운 가장 훌륭한 교훈 중 하나는 ‘게임에서 승리하기 위해서 반드시 미래를 예측할 필요는 없다.’는 것이다.
- 그들은 불가는한 '예측'이 아닌 자신이 ‘통제할 수 있는 것’에 초점을 맞춤으로써 경제 또는 금융 시장에 어떤 일이 일어나든 성공하고 승리한다. 
- 통제할 수 있는 것을 통제하라. 이것이 바로 핵심 비결이다. </t>
  </si>
  <si>
    <t>■ My Strategy
- AI 인프라 확대에 있어 '병목'을 분석하고 선점하자.
- CPU 숏티지가 발생한다면 어느 기업에 투자해야할까?
- 테슬라는 실적발표하면 주가가 하락하는 패턴인데, 이번에도 그렇게 될까? 실적 발표전 비중 조절이 필요할까?
- 일본 금리 변동에 의한 앤캐리 청산 우려와 미정부 셧다운 우려에 대해 어떤 대응을 할 수 있을까?</t>
  </si>
  <si>
    <t xml:space="preserve">■ 멘토와 함께하는 【The FIVE】
주식투자의 성공 비결은 좋은 회사를 싸게 사서 오래 보유하는 것
자신의 한계를 인정하고 지속적으로 학습하며, 새로운 정보에 유연하게 대응 할 수 있는 마인드셋이 필요하다. 
인내심을 가지고 장기적 관점에서 투자하라 
 최고의 매수 기회는 비관론이 최고조에 달했을 때 온다
</t>
  </si>
  <si>
    <t>【The FIVE】#100-027</t>
  </si>
  <si>
    <t>[The FIVE]
100회 달성!!!</t>
  </si>
  <si>
    <t>■ 묵상 : 다른사람의 부족함이나 결점이 눈에 띌때, 겸손한 마음으로 더 나을 것 없는 제 자신을 돌아보게 하옵소서. 죄인을 불러 의롭다 하시고, 자녀 삼아주신 주님의 긍흉과 사랑을 날마다 기억하게 하시고, 하루하루를 성령님의 인도하심 따라 살게 하옵소서. 아멘.
■ 감사 : 오늘도 즐겁고 기대되는 하루가 될수 있어 감사합니다. [The FIVE] 100회를 달성할 수 있어 감사합니다. 앞으로 200회를 향해 더욱 최선을 다하겠습니다. 중요한 회의를 준비중인데, 지혜를 간절히 원합니다. 오늘도 최선을 다해서 하루를 보내도록 하겠습니다. 감사합니다. 고맙습니다.</t>
  </si>
  <si>
    <t>■ Footprints in Books
 - 당신은 일평생 동안 생일과 맞먹는 횟수의 조정장을 경험해야 한다! 그러니 두려워하지 말라. 봄, 여름이 지나면 가을과 겨울이 오듯이 해년마다 일어나는 세상의 이치라고 생각해라. 역사적으로 조정장의 지속 기간은 평균 54일이다. 즉 대부분의 조정장은 당신이 미처 알아보기도 전에 끝나버린다.
- 시장의 흥망을 지속적으로 예측하고 타이밍을 맞출 수 있는 사람은 아무도 없다. 당신이나 내가 ‘시장의 타이밍을 예측’하고 정확한 시점에 뛰어들거나 빠져나올 수 있다고 믿는 것은 엄연한 착각이다. 주식시장은 단기적 후퇴는 있을지언정 꾸준히 상승한다. 가장 위험한 행동은 시장에 참여하지 않는 것이다. 설사 한심할 정도로 최악의 타이밍만을 선택하더라도 주식시장에서 오래 버틸 수만 있다면 복리의 마법 덕분에 적지 않은 수익을 손에 넣을 수 있다. 타이밍을 보며 시장밖에 있지 말고, 항상 시장 안에 머무며, 올바른 씨앗을 심고 참을성 있게 물을 주고 수확하는 사람이 되라.</t>
  </si>
  <si>
    <t>■ My Strategy
- '금' 랠리가 끝나면 그 다음은? 암호화폐?</t>
  </si>
  <si>
    <t xml:space="preserve">■ 멘토와 함께하는 【The FIVE】
</t>
  </si>
  <si>
    <t>【The FIVE】#101-028</t>
  </si>
  <si>
    <t>나의 포트폴리오는
예기치 못한 일이 일어날 것임을
예상하고 있는 사람의
포트폴리오라고 할수 있는가?</t>
  </si>
  <si>
    <t>마태복음 7:13~29</t>
  </si>
  <si>
    <t>■ 묵상 : 멸망으로 인도하는 문은 크고 넓다. 생명으로 인도하는 문은 좁고 험하다. 누가 거짓 예언자인지는 그 열매를 보면 알수 있다. (좋은 나무는 좋은 열매를 맺는다). 주의 말씀을 듣고 행하는 사람은 바위위에 집을 지은 지혜로운 사람이다. 홍수와 비바람이 불어도 무너지지 않는다. 주의 말씀을 실천하지 않는 삶은 모래 위에 집을 지은 것과 같다. 아무리 훌륭하게, 높이, 튼튼히 집을 지어도 결국 비바람이 오면 한번에 무너져내린다. 주님, 저로 좁은 길로 걷게하시고, 좋은 열매를 맺게 하시고, 반석위에 집을 짓게 하옵소서. 아멘. 
■ 감사 : 오늘도 즐겁고 기대되는 하루가 될수 있어 감사합니다. 날마다 말씀으로 하루를 시작할 수 있어 감사합니다.  오늘도 최선을 다해서 하루를 보내도록 하겠습니다. 감사합니다. 고맙습니다.</t>
  </si>
  <si>
    <t>■ Footprints in Books
 - 모든 위대한 투자자가 끊임없이 묻는 가장 중요한 질문은 “어떻게 해야 돈을 잃지 않을 수 있는가?”이다. 
 - 워런 버핏의 투자의 법칙 “첫째, 돈을 잃지 마라. 둘째, 첫 번째 규칙을 잊지 마라.”
 - 성공한 투자자는 미래를 지속적으로 예측할 수 있는 사람은 아무도 없다는 사실을 알고 있다. 따라서 그들은 언제나 예기치 못한 위험과 잘못된 선택에 따른 위험에 대비하기 위해 노력한다. 우리는 우리의 예측이 잘못되더라도 ‘괜찮도록’ 자산을 배분해야 한다. 자산배분이란 간단히 말해 다양한 유형의 자산을 적절한 비중으로 분산투자하여 위험은 줄이고 수익은 최대화하는 것이다.
- 우리는 항상 ‘예상치 못한 일이 일어날 것임을 예상해야 한다.’ 세상이 온통 불확실한 것투성이므로 항상 불안에 떨어야 한다는 뜻이 아니다. 예상치 못한 일이 발생하더라도 스스로를 보호할 수 있게 투자하라는 의미다.</t>
  </si>
  <si>
    <t xml:space="preserve">■ My Strategy
- 테슬라와 팔리란티어 비중 조절하고 현금 확보함. 종목과 사랑에 빠지지 말자..ㅜ.ㅜ(머스크형 미안해)
- 총 자산의 10%는 현금 보유하자. 조정장에 공격적으로 매수하자.
- 오늘 공포탐욕 지수는 64. (60 이상의 장에서는 매수금지!!)
- AI가 큰 파도를 만들었다. 이 파도 위에 '서핑'을 즐기는 기업을 찾자!
</t>
  </si>
  <si>
    <t>■ 멘토와 함께하는 【The FIVE】
 - 우생마사 (牛生馬死) : 말은 자신의 수영을 믿고 살기 위해 몸부림 치다보니 힘이 빠져 물에 가라 앉아 익사를 한 반면, 소는 힘을 빼고 물살에 몸을 맡겨 떠내려가다 보니 자연스럽게 육지에 도착해서 살아남았다는 교훈.
 - 강한 물살을 거슬러 올라가려고 하지 말고, 소처럼 물살에 몸을 맡겨 힘을 빼고 그 흐름을 따라가자.</t>
  </si>
  <si>
    <t>【The FIVE】#102-029</t>
  </si>
  <si>
    <t>男儿当自强
배우고, 훈련하고,
연구하고, 실천하고
지속하자.
[The FIVE]의 
새로운 슬로건
[High FIVE]</t>
  </si>
  <si>
    <t>마태복음 8:1~13</t>
  </si>
  <si>
    <t>■ 묵상 : 발전소에서 만들어진 전기는 전선을 타고 우리집 콘센트까지 연결되어 언제나 대기중이다. 코드를 꼽기만 하면 그 전기에너지가 기계로 흘러들어와 기계가 작동한다. 의심의 여지가 없다. '믿음'도 그와 같다. 주님께서는 언제나 나와 함께 계시며, 코드를 꼽기만 하면 (믿기만 하면) 하난님께서 나를 통해 일하신다. 문제는 코드를 꼽지 않고 하나님이 일하시길 원한다느 것이다. 백부장은 예수님께 말한다. '그저 말씀만 하십시오'. 백부장은 믿고 있다. 예수님께서 말씀 한마디로도 멀리 있는 자신의 종이 나으리라는 것을. 그 믿음으로 코드를 꼽는 순간 예수님의 치유의 능력이 일을 하신다. 주님. 저에게도 믿음을 주셔서 주님과 연결되어 주님의 능력이 제 삶에서 작동되는 인생 되게 하소서. 아멘.
■ 감사 : 오늘도 즐겁고 기대되는 하루가 될수 있어 감사합니다. 날마다 말씀으로 하루를 시작할 수 있어 감사합니다. 가족들이 오늘도 최선을 다해서 하루를 보내도록 하겠습니다. 감사합니다. 고맙습니다.</t>
  </si>
  <si>
    <t>■ Footprints in Books
 - 워런 버핏 “확실성의 대가는 비싸다.” 그럼에도 많은 사람들이 불확실성을 두려워한 나머지 경제적 위험을 피해 가려 한다. 두려움 속에 함몰되어 있다는 것은 게임을 시작하기도 전에 패배했다는 의미다. 
- 주식시장이 어떻게 변할지는 아무도 알 수 없다. 그러나 앞날을 모른다는 것이 아무 행동도 취하지 않는 변명이 될 수는 없다. 스스로를 교육시키고, 훈련하고, 시장의 장기적 패턴을 연구하고, 최고의 투자자들을 본받아 그들의 전략을 파악하여 합리적 판단을 내린다면 당신도 자기주도적 투자를 할 수 있다
- 워런 버핏 “위험은 자신이 무엇을 하고 있는지 모르는 데서 온다.”
- 겨울은 결국 언젠가 온다. 두려움에 떠는 것은 합리적인 행동이 아니다. 어떤 풍파가 몰아쳐도 당신의 배가 안전하고 튼튼하게 견딜 수 있도록 준비하는 것이야말로 합리적인 행동이다.</t>
  </si>
  <si>
    <t>■ My Strategy
- 메모리주에 더 더 더 들어가고 싶지만, 원칙을 지키자. (탐욕지수 60이상 매수 금지, 현금 10% 유지)
- 전력주(블룸에너지)의 비중을 5%까지 확대 추진
- 보유 종목 리밸런싱을 통해 점유비 순위 변경. 정기적인 리밸런싱을 통해 수익 극대화를 지속하자.
- 독서가 숏츠보다 더 중독성있고 즐겁다는 것을 느끼는 요즘이다. 습관의 힘은 이렇게 엄청나고 대단하다.</t>
  </si>
  <si>
    <t xml:space="preserve">■ 멘토와 함께하는 【The FIVE】
- 인생·일의 결과 
  = 능력 x 열의 x 사고방식
- 인생에서 가장 중요한 것은 바로
'지속', 즉 같은 일을 진지하게 지속해나가는 것이다 </t>
  </si>
  <si>
    <t>【The FIVE】#103-030</t>
  </si>
  <si>
    <t>잡초는 뽑고
좋은 나무에
물과 양분을 주자
나의 정원에서
잡초를 키우지 말자!</t>
  </si>
  <si>
    <t>마태복음 814~22</t>
  </si>
  <si>
    <t>■ 묵상 : 예수님께서 열병에 걸린 베드로의 장모를 치유하자 장모는 일어나 예수님을 섬긴다.  은혜를 바은 사람은 섬김으로 그 은혜의 열매를 맺는다. 치유의 예수님께 많은 무리가 몰려든다. 예수님은 무리가 몰려드는 것을 보고 호수 건너편으로 가라고 하신다. 환호하는 군중 속이 아니라, 언제나 하나님 앞에 단독자로 서야한다. 주님, 저는 은혜를 받은 사람입니까? 섬김으로 그 열매를 맺게 하소서. 제가 주님과 친밀한 개인적관계를 맺고 싶어하나요? 그렇다면 군중을 떠나 건너편으로 가게하소서. 아멘. 
■ 감사 : 오늘도 즐겁고 기대되는 하루가 될수 있어 감사합니다. 1월 한달동안 8권의 책을 읽었습니다. 독서의 즐거움을 알수 있게 되어 감사합니다. 적은 금융지식이지만 도움이 필요한 분들께 도움을 줄수 있어 감사합니다. 오늘도 최선을 다해서 하루를 보내도록 하겠습니다. 감사합니다. 고맙습니다.</t>
  </si>
  <si>
    <t>■ Footprints in Books [완독 소감] 
 - '흔들리지 않는 돈의 법칙' ... 처음엔 무언가 엄청난 스킬과 대단한 무엇인가를 알려줄 것만 같았다. 하지만, 결론적으로 서울대 수석 합격한 학생의 소감과 유사했다. '교과서 위주로, 수업에 충실히...'. 처음엔 '이게 다인가?' '이 당연한 걸 누가 몰라?' 이런 느낌이었지만, 읽어갈수록 그 싱거운 맛이...싱거운 맛이 아니었고, 당연한 것이 당연한 것이 아니었다. 여러권의 투자 책을 읽으며 모두가 한목소리로 외치고 있는 그 것!! 바로 그것이었다. 보기엔 쉽지만, 실행은 쉽지 않은 것. 요란하고 큰 파도가 아니라, 스멀스멀 밀려드는 '밀물'같이 내 마음에 밀려들어왔다. 투자는 '테크닉'이 아니라 바로 '마음가짐'이라는 것을 배운다. 
  - '조정장'은 반드시 찾아온다. 4계절이 바뀌듯! 준비되어있지 않은 사람은 조정장을 버티지 못한다. 
  - 그리니, 공부하고 배우고, 실천하면서 조정장을 미리 대비해라. (4대 원칙)
     (원금을 잃지마라, 비대칭 위험/보상을 따져라, 세금을 아껴라, 분산투자하라) 
  - 그리고, 조정이 오면 두려워하지 말고 버텨라. 겨울이 가면 반드시 봄이 온다.</t>
  </si>
  <si>
    <t xml:space="preserve">■ My Strategy
- 오늘 새벽 MS -12% 폭락장에 전 종목 일제히 하락. 보유중인 현금 전량 투입해서 저가 매수 완료.
- MS 신규 진입, 샌디스크/SOXL/블룸에너지/AST/테슬라/구글 추가 매수
- 현금 확보의 소중함을 깨닫는다. 기회가 왔을때 승부를 걸수 있는 준비가 언제나 되어있어야 한다. (현금 재확보 추진) </t>
  </si>
  <si>
    <t>$122 ▲0.7%</t>
  </si>
  <si>
    <t>【The FIVE】#104-031</t>
  </si>
  <si>
    <t xml:space="preserve">최고의 투자는
자기 자신에게
하는 투자다
매일의 독서와
[The FIVE] 습관이
나의 성장을 돕는다. </t>
  </si>
  <si>
    <t>마태복음 8:23~34</t>
  </si>
  <si>
    <t>■ 묵상 : 우리가 살면서 갖게되는 '경험치'는 약간의 도움과 유익은 되지만, 인생의 풍랑 앞에서는 언제나 무기력하다. 질별, 사고, 이별, 죽음.... 무엇하나 우리의 힘으로 이겨낼 수 없다. 고기잡이 베테랑들인 제자들도 '우리가 죽게되었다'고 절망하는 것처럼, 우리 또한 인생의 풍랑을 만나면, 고통스러워하며 '죽게되었다'고 좌절합니다. 그럼에도 불구하고, 제자들은 뒤늦게라도 예수님을 찾습니다. 예수님은 말씀으로 풍랑을 잠잠케하십니다. 주님, 문제를 만나서 죽게되었다고 생각이 들기 전에 먼저 예수님께 달려가겠습니다. 아멘.
■ 감사 : 오늘도 즐겁고 기대되는 하루가 될수 있어 감사합니다. 1월 한달간 하루도 빠짐없이 Q.T와 [The FIVE]할 할수 있어 감사합니다. 한달간 투자에 좋은 결실이 있어 감사합니다. 한달간 독서 8건 완독하게 되어 감사합니다. 독서의 즐거움을 알게되어 감사합니다. 오늘도 최선을 다해서 하루를 보내도록 하겠습니다. 감사합니다. 고맙습니다.</t>
  </si>
  <si>
    <t>돈을 이기는 법(성필규)</t>
  </si>
  <si>
    <t xml:space="preserve">■ Footprints in Books
- 마치 1인칭 소설을 읽는 느낌이다. 괜시리 긴장감도 느껴진다. 성공과 실패를 오가며 느꼈을 그 환희와 고통이 내 마음으로 전이된다. 지난 1년, 나도 규모는 다르지만 비슷한 것을 느꼈었다. 시간 가는 줄 모르고 읽게되는 재미있는 책이다 내용중에 종종 나온느 투자기법은 참고할 만 한다. (이동편균선을 활용한 투잡법을 한번 적용해봐야겠다)
- 상황이 사람을 만들어가는 것 같다. 과거 나를 알아오던 그 누가 지금 투자영역에 푹 빠진 나의 모습을 상상할 수 있겠는가. 수입원의 다각화라는 가장으로서의 책임감은 무거웠고, 좋은 멘토를 만났고, 방법을 찾았다. 그렇다면 무엇을 망설이겠는가. 이 책의 지은이처럼, 그저 몰려드는 파도를 향해 돌진하는 거다. </t>
  </si>
  <si>
    <t>■ My Strategy
- 현대차 전일비 -5%, 전일 올랐던 +7% 모두 뱉어냄. 마감장에서 3주 추가 매수, 이재명정부 믿고 가본다.(노사문제 정부가이드)
- 안정적 포트폴리오를 형성하는 것이 1순위다. 각 섹터별 대장주 위주로 50% 이상의 점유비를 유지해야한다.
- 나머지 50%로 성장기업, HIGH RISK HIGH RETURN에 도전해보며 시장변화와 투자의 감을 익혀나가자.
- 현금을 상시 확보하여 대장주는 급락시에 과감하게 배팅하자. (대장주는 회복력이 매우 좋다!)
- 현금 상시 확보는 결국 보유주식 중 '잡초(실적이 저저한 주식)'를 뽑는 작업이다. 좋은 순환구조다.
- 어제 보유 현금을 모두 투입했으니, 잡초를 뽑을 때가 되었다. (후보는 팔라티어(-10.5%) 다음주 실적 발표 후 결정 예정)</t>
  </si>
  <si>
    <t>$62 ▼12.3%</t>
  </si>
  <si>
    <t>【The FIVE】#105-032</t>
  </si>
  <si>
    <t>확률과 데이터
그리고
믿음과 확신
정택! 지금 네 포트폴리오에는
믿음과 확신이 있나?
다시한번 묻고
다시한번 확인하자</t>
  </si>
  <si>
    <t>마태복음 9:1~13</t>
  </si>
  <si>
    <t>■ 묵상 : 중풍병자의 친구들은 예수님께만 가면 친구의 병을 반드시 고쳐주실 것이라는 믿음이 있었다. 예수님은 중풍병자 본인의 믿음이 아닌, 친구들의 믿음을 보시고 중풍병자를 고쳐주셨다. 나의 믿음을 통해 타인의 고통을 예수님 앞으로 인도할수 있다. 나의 믿음 생활은 형식적인 예배가 아닌 나 자신, 내 가족, 내 이웃에 대한 긍휼과 사랑이 되어야하고, 빚진자의 심정이 되어야한다. 결국 예배는 나 자신과 나의 이웃을 예수님 앞으로 인도하는 것이 되어야한다. 예수님, 저로 된 예배자, 삶으로 드려지는 예배자, 섬기는 자가 되게 하옵소서. 아멘. 
■ 감사 : 오늘도 즐겁고 기대되는 하루가 될수 있어 감사합니다. 예배후 문순장님 가족과 규리네 가족과 함께 즐거운 교제의 시간 감사합니다. 이번주 지점장회의자료가 아직 미진한 상황이지만, 미향이의 강력한 권유 '주님께서 주시는 영감에 대한 강력한 확신과 이미 받은 주로 알고 감사'하라는 권면 감사합니다. 하나님, 오늘 성순장님 통해서 내 삶에 꼭 필요했던 AI툴을 알게 하시니 감사합니다. 오늘도 최선을 다해서 하루를 보내도록 하겠습니다. 감사합니다. 고맙습니다.</t>
  </si>
  <si>
    <t>■ Footprints in Books
- 믿을 수가 없다. 대학 졸업 후 취직하지 않고 전업 투자를 하면서 전재산을 날리고 빚까지 지는 세번의 파산을 맞고도 어떻게 다시 기회를 얻고 재기할 수 있는지.... 또 매번 파산을 맞을때 마다 겪었을 그 고통과 좌절... 그리고 마지막 네번째의 짜릿한 성공.  소설이라고 해야 믿어질 것 같은 이런 이야기가 실존하는 인물이라니. 그것도 한국에. 책을 읽는 내내 다음 내용이 궁금해지는 책이다. 한사람의 불꽃같은 투자 일대기를 보는 느낌. 이제 남은 분량은 '나를 지켜낸 투자 철칙' 부분이다. 어떤 내용이 전개될지는 웬지 모르게 감이 온다. 투자에서의 철칙은 진리처럼 단순하면서도 불변하다. 마치, 성실, 근면, 정직, 친절, 박애 ... 수천년 전에도, 지금도, 그리고 수천년 이후에도 변하지 않을 영원 불변의 가치와 같이, 누구나 알지만 누구나 실천하기 어려운 단순하고도 명료한 그것들일 것이다.</t>
  </si>
  <si>
    <t xml:space="preserve">■ My Strategy
- SOXL(반도체X3배 레버리지) 전량 매도, 팔란티어 비중축소하고 마이크론과(11%→13%), 샌디스크(6.8%→10.5%) 비중 확대
- 반도체에 과도하게 치중한 느낌이다. 게다가 마이크론과 샌디스크는 이미 고평가 상황이 아닐까? 
- 조정이 왔을때 수익률에 큰 타격이 우려되는 상황인데도...이렇게 해야만 할 것만 같은 느낌이다. &gt;_&lt; 
  딱! 현재가 기준 -15%까지만 가보자. 가보고 아니면, 과감히 손절하고 수업료 내자. 수업료는 아깝지 않다.
- 금 급락장(-10%)에 GLD ETF 1주 구매. 기회가 올때마다 안전자산에 분산투자 진행하자.  </t>
  </si>
  <si>
    <t>$430 ▼0.7%</t>
  </si>
  <si>
    <t>【The FIVE】#106-033</t>
  </si>
  <si>
    <t>배운바에 굳게 서서
'나의 방법'대로 ' 나의 길'을
걸어가자
My Way!!</t>
  </si>
  <si>
    <t>■ 묵상 :  혈루증 걸린 여인도, 죽은 딸아이의 엄마도, 삶에 유일한 소앙은 동일하다. 바로 '행복'이다. 부정한 병으로 인식되어 사람들로부터 외면당하며 살아온 인생, 생명보다 귀한 딸의 죽음 앞에 무너진 인생. 무엇으로 위로하고 행복을 줄수 있겠는가.. 예수님은 그들의 간절함을 아시고, 치료하시고 살려주신다. 주님, 저도 행복하고 싶습니다. 제가 어떨때 가장 행복한지 저보다 주님께서 더 잘 알고 계십니다. 주님, 저의 간절함을 보시고 만나주세요. 새롭게 해주세요. 아멘.
■ 감사 : 오늘도 즐겁고 기대되는 하루가 될수 있어 감사합니다. 매일 새로운 것들을 배우고 깨닫게 해주시니 감사합니다. 함께 배우고 성장하는 소중한 사람들을 만나게 하시니 감사합니다. 오늘도 최선을 다해서 하루를 보내도록 하겠습니다. 감사합니다. 고맙습니다.</t>
  </si>
  <si>
    <t xml:space="preserve">■ Footprints in Books
[나를 지켜낸 투자철칙]
1. 자신이 어떤 투자자인지를 알고 자신만의 길을 정하라. 2. 게임의 법칙을 파악하여 싸워서 이기는 게 아니라 이겨놓고 싸워야 한다. 3. 자금 관리를 생명선으로 여기라. 4. 겸손한 마음으로 꾸준히 노력하라. 5. 투자 심리를 이해하라
- 예상한대로, 성공 투자를 위한 어떤 특별한 테크닉은 없다. 유투브상에 넘쳐나는 클릭을 유도하는 자극적인 제목들... 그들은 클릭수로 돈을 버는 사람들일 분이다. 투자로 돈을 버는 사람은 클릭수가 필요하지 않다. 무론, 유투브에는 고품질 정보도 상당하고 나도 대부분의 정보를 유투브를 통해 얻는다. 다만, 진정한 투자자는 클릭으로 돈을 벌지 않는다는 것만 명심하자. </t>
  </si>
  <si>
    <t>■ My Strategy
- 반도체는 단기조정은 불가피 하겠지만, 길게보면 확실한 우상향 일 수 밖에 없다. 
- 100% 안전한 길은 비용이 비싸다. 40~70% 의 가능성 안에서 RISK를 감당하며 신속히 움직이자.</t>
  </si>
  <si>
    <t>【The FIVE】#107-034</t>
  </si>
  <si>
    <t>명사수는 시위를 떠난 활에는
미련을 두지 않다는 말이 있다
결정하고 실행했다면
그 화살이 어디에 가서
박히든 미련을 두지 말자
중요한 것은
그 다음 화살을
어디에, 어떻게 쏘느냐이다.</t>
  </si>
  <si>
    <t>마태복음 9:27~38</t>
  </si>
  <si>
    <t>■ 묵상 : 눈먼 맹인은 예수님을 '다윗의 자손'으로 알아봅니다. 육체의 눈은 멀었으나, 영의 눈은 떠있어 예수니을 알아봅니다. 인간은 죄인입니다. 예수님을 알아보지 못하는 것이 당연합니다. 하지만, 가난한 마음, 결핍, 육체의 질병등 인생의 고난과 고통이 영의 눈을 열어줍니다. 주님, 저로 언제나 결핍과 부족 가운데, 광야 가운데 두시고 영의 눈이 밝게 떠있게 하옵소서. 주님의 길을 함께 걷게 하옵소서. '섬기는 자'로서의 삶을 살아가게 하옵소서. 아멘.
■ 감사 : 오늘도 즐겁고 기대되는 하루가 될수 있어 감사합니다. 미향이와 하남매가 무사히 시드니행 비행기에 탑승할수 있게 해주셔서 감사합니다. (오늘 딱 3자리 남고, 내일부터는 일주일 동안 계속 만석. 오늘 못탔으면 여행도 포기하고 호텔값도 환불이 않되었을텐데. 하나님, 그저 감사합니다. 오늘도 최선을 다해서 하루를 보내도록 하겠습니다. 감사합니다. 고맙습니다.</t>
  </si>
  <si>
    <t>부의 그릇(이즈미 마사토)</t>
  </si>
  <si>
    <t>■ Footprints in Books
- '외로운 승부사'... 마지막 책장을 읽으며 내마음에 울리는 한마디. 마치, 한 시대를 풍미한 외로운 승부사가 4일동안 내 옆에서 자신의 인생이야기를 들려준 후 몇가지 당부하는 말을 남긴 뒤, 또 다시 '승부의 세계'를 향해 발길을 옮겨가는 듯 하다. 그의 가습벅차고 쓸쓸한 뒷모습을 보고 있노라니, 내 마음에도 외로움이 느껴진다. 참 좋은 책이다. 역시 경험만큼 중독성있고, 가슴을 울리는 이야기는 없는 것 같다.
- 나도 언제가 겪어야 할 그 '실패'.... 그 '실패'의 맛은 지금은 그저 상상속에서만 존재한다. 마치, 하민이가 갖고 싶은 것을 졸라대다 끝내 얻지 못해 좌절하는 그정도 수준의 고통을 상상하고 있겠지. 하지만, 그 '실패'가 현실이 되면, 칼에 베이고, 못에 찔리고, 계단에서 넘어저 다리가 두동강이 나는 것보다 더 고통스러울 것이 분명하다. 그 고통 조차도 여전히 상상속에서만 존재하니....결국 '실패'를 경험해본 후에야 이 승부사의 마음을 진정으로 느낄수 있으리라. '실패'가 두려운데.....'실패'가 그립다. 승부사의 그 외로움이 두려우면서도  사무치게 그립다.</t>
  </si>
  <si>
    <t>■ 독후감 (좋은 글귀)
- 좋은 마인드, 건전한 습관, 꾸준한 노력과 실천, 이 삼박자가 맞아야 비로소 성공하는 것이 어디 투자뿐일까? 이 셋을 놓치면 실패하는 것이 또한 어디 다이어트, 바둑, 골프뿐일까? 인생이 또한 그러하지 않은가. 무슨 무슨 다이어트라고 숱한 방식들을 소개하는 책이 나와 있지만 결론은 한가지다. 덜 먹고 더 움직이면 된다. 그걸 이런저런 다양한 방식으로 이야기하고 있을 뿐이다. 
- 결국 가장 어려운 것은 실천이다. 누가 그랬다. 아는 것과 실천하는 것은 개와 고양이가 다른 것만큼이나 다르다고.</t>
  </si>
  <si>
    <t>$755 ▲3.9%</t>
  </si>
  <si>
    <t>【The FIVE】#108-035</t>
  </si>
  <si>
    <t>시장은 늘 옳다
그러니, 시장에
맞서지 말자</t>
  </si>
  <si>
    <t>마태복음 10:1~15</t>
  </si>
  <si>
    <t>■ 묵상 : '너희가 거저 받았으니, 거저 주라'.... 돌아보면, 지금 내가 가진 모든 것이 거저 받은 것 입니다. 도우심과 인도하심이 아니었다면 지금 이 모든 것이 내게는 과분한 것들 입니다. 주님, 언제나 최고의 것으로, 최고의 길로 인도해주시니 감사합니다. 최고의 것은 고난이고, 최고의 길은 광야의 길입니다. 그곳에서 주님과 동행할 수 있습니다. 주님이 계신 곳이 최고의 것이자 최고의 길입니다. 언제나 임마누엘 해주세요. 아멘. 
■ 감사 : 오늘도 즐겁고 기대되는 하루가 될수 있어 감사합니다. 미향이와 하남매가 시드니에 잘 도착해서 행복한 시간을 보내고 있습니다. 가족에게 여행할 수 있는 기회를 줄수 있어 감사합니다. 오늘부터 3일간 본사와 지점장회의를 진행합니다. 생산적이고 건설적인 회의가 되게해주세요. 오늘도 최선을 다해서 하루를 보내도록 하겠습니다. 감사합니다. 고맙습니다.</t>
  </si>
  <si>
    <t>■ Footprints in Books
[이전 책의 감상] 
- “내기를 하는 경우에도 이와 같아서 기왓장 하나를 걸고 내기를 하면 기가 막히게 잘하는 사람이 그보다 조금 더 값진 물건을 걸고 내기를 하면 기가 죽고, 황금을 걸고 내기를 하면 정신이 혼미해진다. 그 사람의 기술은 언제나 같지만 마음을 물건에 빼앗기면 행동은 뜻대로 되진 않는 것이지.”
- "수영을 잘하는 사람이 배를 잘 저을 수 있는 이유는 물에 빠지는 것을 겁내지 않기 때문이다. 또 잠수에 능한 사람은 배가 뒤집히더라도 결코 당황하지 않는다. 그래서 오로지 배 젓는 일에만 전념하게 되는 것이다.”
- 사실이건 그렇지 않건 ‘시장은 늘 옳다.’는 생각을 마음속에 품고 있어야 한다.</t>
  </si>
  <si>
    <t xml:space="preserve">■ My Strategy
- 샌디스크, 마이크론의 점유비가 대폭 올라갔다. 변동성이 큰 주시이므로, 모니티링 필요.
- 전력주(블룸에너지, GE버노바) 하락장에서 점유비를 높여가자.
- 스페이스X로 인해 촉발되는 우주 관련 주(AST) 또한 관심을 가지고 지켜보자
- </t>
  </si>
  <si>
    <t>$116 ▲10.7%</t>
  </si>
  <si>
    <t>【The FIVE】#109-036</t>
  </si>
  <si>
    <t>■ 묵상 :  
■ 감사 : 오늘도 즐겁고 기대되는 하루가 될수 있어 감사합니다.                        오늘도 최선을 다해서 하루를 보내도록 하겠습니다. 감사합니다. 고맙습니다.</t>
  </si>
  <si>
    <t>■ Footprints in Books</t>
  </si>
  <si>
    <t>■ My Strategy
- 꾸준한 공부와 실천만이 이 주식시장에서 '생존'하는 유일한 길이다. 
- 컴퓨팅엔진 분야에 67.% 비중이 투자되어있는데, 쏠림 현상에 대한 고민이 필요. (분산이 필요할지...)</t>
  </si>
  <si>
    <t>- 주식 투자의 묘수는 없다, 획기적인 투자법이나 어떤 공식, 법칙도 있을리 만무하다. 오로지, 자기만의 원칙수립과 실천 뿐이다.
- 주식투자는 절박함과 간절함으로 매달리고 집중 할 때 좋은 결과가 나올 확률이 높다.
- 투자의 원칙과 실천 : 1) 이성적인 투자 2) 시장 흐름 보는 눈 갖기3) 찾아오는 기회 파악하기4) 꾸준히 공부하기 5) 내안의 심리 다스리기</t>
  </si>
  <si>
    <t>【The FIVE】#110-037</t>
  </si>
  <si>
    <t>책을 읽자</t>
  </si>
  <si>
    <t>■ 묵상 : ' 또 누구든지 자기 십자가를 지지 않고 나를 따르는 사람도 내게 합당하지 않다'....'정택아, 너는 너의 십자가를 지고 나를 따르고 있니?'  주님께서 내게 직접 말씀하시는 듯 하다. 나는 나의 십자가를 지지 않는다. 조금만 억울해도, 조금만 힘들어도, 나는 인간적인 방법으로 감정을 해소한다. 믿음 없는 사람들과 차이가 하나도 없다. 내가 져야할 십자가는 바로 나 자신이다. 억울함, 분노, 증오 이러한 악한 감정을 사람앞에 내어놓고 풀 것이 아니라 하나님 앞으로 가져가야 한다. 그것이 내가 져야할 십자가이다. 주님, 제가 저의 십자가를 질 수 있도록 성령 충만케 하옵소서. 아멘.
■ 감사 : 오늘도 즐겁고 기대되는 하루가 될수 있어 감사합니다. 상반기 중국지역 지점장회의를 잘 마칠수 있게 해주셔서 감사합니다. 투자공부를 통해서 투자 뿐만 아니라 인생과 신앙도 함께 공부하게 됩니다. 단순히 '돈'을 버는 해위가 아닌, 삶의 본질과 인생의 의미까지도 함께 배우게 하시니 감사합니다. 미향이와 하남매가 시드니에서 행복한 여행을 하고 있어 감사합니다. 오늘도 최선을 다해서 하루를 보내도록 하겠습니다. 감사합니다. 고맙습니다.</t>
  </si>
  <si>
    <t>■ Footprints in Books
- "한정된 기회를 자기의 것으로 만들려면 배트를 많이 휘둘러야 해. 물론 때로는 크게 헛스윙을 할 때도 있을 거야. 많은 사람은 바로 이 헛스윙이 무서워서 가만히 있지. 하지만 성공하는 사람들은 배트를 많이 휘둘러야 볼을 맞힐 수 있다는 걸 본능적으로 알아"
- '연습' 이 없이는 어느 분야에서도 마스터가 될 수 없다. 골프도 야구도 투자도 심지어 게임이나 놀이도 연습 없이는 깊은 단계로 들어갈 수가 없다. '연습'이란 끊임없는 반복 훈련이다. 반목을 통해 오차를 줄이고, 동일한 퍼포먼스가 나올 수 있도록 더 민첩하고, 더 정확하게 패턴화 하는 것이다. 지루하고 지겹고 고통스럽다. 하지만, '연습'에는 왕도가 없다. '연습은 그러한 것이다'를 인정하고 끝까지 걸어가야 한다. 그것만이 내가 이 분야에서 마스터가 되는 유일한 길이다.</t>
  </si>
  <si>
    <t>돈을 잃는 8가지 방법 (반대로 하면 된다)
 1) 천재가 되어라 (자신을 특별하게 여긴다)
 2) 시장이 당신에게 돈을 빚지고 있다고 여겨라 
     (무언가 잘못되었다면 빠져나와야 한다)
 3) 추세를 무시하라
 4) 나쁜 상황에서 빠져나오지 마라
 5) 승자가 되어라 (희망이 손해보다 더 가치 있다고 여긴다)
 6) 잃고 있는데도 버텨라 (손절)
 7) 교만해저라
 8) 자신의 목표를 혼동하라</t>
  </si>
  <si>
    <t>【The FIVE】#111-038</t>
  </si>
  <si>
    <t>단순함' 이야말로
가장 높은 수준의 '정교함'
찰리 멍거
당신을
내 투자 인생의
멘토로 삼겠습니다.</t>
  </si>
  <si>
    <t>마태복음 11:1~19</t>
  </si>
  <si>
    <t>■ 묵상 : 주님, 이해할 수 없는 상황일수록 힘써 주님께 나아가 묻기를 원합니다. 현실과 상황을 뛰어넘어 복음의 능력, 생명의 역사를 볼수 있는 눈을 열어 주소서. '섬기는 자'로서 갖춰야 할 것들을 훈련을 통해 갖게 하시고 갑절의 영감을 주셔서 나의 능력이 아닌 주님의 능력과 인도하심을 인생 살게 하옵소서. 아멘.
■ 감사 : 오늘도 즐겁고 기대되는 하루가 될수 있어 감사합니다. 새벽기도를 통해 다윗과 솔로몬의 말씀을 듣고 배우게 하시니 감사합니다. 미향이와 하남매가 여행가운데 행복을 경험하게 하시니 감사합니다. 이번주 지점장회의가 순조롭게 잘 마무리 되게 하시니 감사합니다. 모두 주짐께서 하셨습니다. 모든 감사와 찬양과 영광을 주짐께 올립니다. 오늘도 최선을 다해서 하루를 보내도록 하겠습니다. 감사합니다. 고맙습니다.</t>
  </si>
  <si>
    <t>■ Footprints in Books
- 실패란, 결단을 내린 사람만 얻을 수 있는 보물이다. 일반적으로 수입이나 돈이 크게 줄어들면 실패했다고 말한다. 하지만 거기에서 얻을 수 있는 ‘경험의 가치’는 사실 잃어버린 돈보다 훨씬 크다. 실패를 두려워만 하는 사람들은 대부분 ‘내가 가진 돈을 줄어들게 하고 싶지 않다’는 생각에 사로잡혀 있다. 즉, 그들이 실제로 두려워하는 것은 ‘실패’가 아니라 ‘돈’이다.그런 이들은 돈 걱정 때문에 어떤 새로운 도전도 하지 못한다. 이 책은 돈의 지배를 받고 사는 사람들에게, 자신이 지금 돈을 어떻게 다루고 있는지 돌아보라고 간곡하게 말한다. '돈'이란 '신용'을 가시화 한 것이다. 그리고 '신용'은 지난 행동들의 결과이고, 지난 행동은 하루하루 사고해온 결과다. 요컨대, 하루하루의 사고가 행동을 만들고, 그 행동이 신용을 만들며, 그 신용이 결과적으로 돈이라는 형태로 나타나는 것이다. '돈의 지배'로 부터 벗어나서 '도전'을 결단하고, '도전'을 통해 '실패'를 경험하고, '실패'의 경험을 통해 '경험의 가치'를 얻고, '경험의 가치'를 통해 성공을 쟁취하자.</t>
  </si>
  <si>
    <t>■돈을 잃는 8가지 방법 (반대로 하면 된다)
 1) 천재가 되어라 (자신을 특별하게 여긴다)
 2) 시장이 당신에게 돈을 빚지고 있다고 여겨라 (무언가 잘못되었다면 빠져나와야 한다)
 3) 추세를 무시하라
 4) 나쁜 상황에서 빠져나오지 마라
 5) 승자가 되어라 (희망이 손해보다 더 가치 있다고 여긴다)
 6) 잃고 있는데도 버텨라 (손절)
 7) 교만해저라
 8) 자신의 목표를 혼동하라</t>
  </si>
  <si>
    <t>【The FIVE】#112-039</t>
  </si>
  <si>
    <t>찰리 멍거 바이블(김재현)</t>
  </si>
  <si>
    <t xml:space="preserve">■ Footprints in Books
- </t>
  </si>
  <si>
    <t>■ My Strategy</t>
  </si>
  <si>
    <t>【The FIVE】#113-040</t>
  </si>
  <si>
    <t>단순한 인생을 살자
독서하고, 운동하고
잘 먹고 (야채, 견과류)
잘 자자 (11시 전 취침)</t>
  </si>
  <si>
    <t>마태복음 12:1~21</t>
  </si>
  <si>
    <t>■ 묵상 : '신앙의 근본 정신' 죄는 미워하되 사람은 사랑하시는 주님. 저로 제 이웃을 사랑하게 하옵소서. 나에게 선하게 대하는 사람은 당연히 아끼고 사랑하고 진심으로 대합니다. 하지만, 나에게 악하게 대하는 사람마저 사랑할 힘이 없습니다. 나에게 악하게 대하는 사람을 저는 정죄하고 저주합니다. 악인도 자기 가족에게는 선한 일을 합니다. 자기에게 선한 사람에게만 선한 태도를 취하는 것은 누구나 다 하는 행동입니다. 주민, 제가 불리하고 억울하고 불합리한 일을 당하더라도, 그 상황을, 그 사람을 사랑하고 축복하게 하옵소서. 그 가운데서 주님의 뜻을 구하게 하소서. 아멘. 
■ 감사 : 오늘도 즐겁고 기대되는 하루가 될수 있어 감사합니다. 10권의 책을 완독하게 되어 감사합니다. 지혜와 지식이 더욱 자라나기 원합니다. 미향이와 하남매가 시드니에서 행복한 시간을 보낼수 있어 감사합니다. 멘토와 베이징에서 더 많은 시간을 함께 보낼수 있게 되어 감사합니다. 지난 한주 지점장회의 준비로 힘들었지만, 무탈히 잘 마무리하게 되어 감사합니다. 골프 스윙의 새로운 세계를 맛보게 되어 감사합니다. 특히 어프로치 스윙의 완성도가 높아짐에 감사합니다. 오늘도 최선을 다해서 하루를 보내도록 하겠습니다. 감사합니다. 고맙습니다.</t>
  </si>
  <si>
    <t>■ Footprints in Books
- 찰리 멍거라는 위대한 투자자이자 사상가를 이제서야 제대로 알아본 내가 참 어리석다. 지난 일년간 투자 공부를 했다면서 어떻게 이저서야 '찰리 멍거'를 만났는지 도무지 이해 할 수가 없다. 멘토를 통해 몇번이나 그에 대한 이야기를 듣고, '격자이론'을 들었지만, 그야말로 소귀의 경읽기였다는 것을 이제서야 깨닫는다. 
- 워렌 버핏보다 더 매력적으로 다가온다. 그가 누구이며 어떤 철학을 가졌는지 너무 궁금하다. 멘토와 장난스럽게 정했던 서로의 투자명. '워렌 킴 &amp; 찰리 노' ... '찰리 멍거'와 '찰리 노'의 인연은 그렇게 운명처럼 시작된 것이다. 이 사람의 이야기를 통해, 나의 지난 1년간의 투자가 얼마나 위험했는지, 살얼음판 위에서 얼마나 위태했는지를 알수 있었다. 이제서라도 그것을 깨닫게 된 것이 참 다행이다. 
- 찰리 멍거. 당신을 알고 싶습니다. 당신의 철학과 정신세계를 공부하고 당신을 닮아가겠습니다!</t>
  </si>
  <si>
    <t xml:space="preserve">■ My Strategy
- 아무런 투자 철학도 없이 지금까지 버텨온 것이 참으로 다행이고 감사하다. 앞으로 투자 철학이 제대로 확립 될 때까지 조급한 마음을 버리고 '느린 투자'를 해야겠다. (지난 한주, 급락장에서 공포에 질려있던 내 모습을 가슴에 새기자)
- 서재형 선생님의 강의에서 '낸드'가 AI에 새로운 변화를 이끌 것으로 보인다. 샌디스크의 비중이 너무 높아 불안해 하고 있는 상황에서 좋은 소식이다. 좋은 기업에 투자했다면 엉덩이의 힘으로 복리를 기다리자
- 찰리 멍거의 철학을 내 머릿속에 그대로 복붙하고 싶다. 올 한해, 찰리 멍거의 세계에 푹 빠질 것이다. </t>
  </si>
  <si>
    <t>■싼 게 비지떡이다. 좋은 주식을 사자
찰리 멍거는 '좋은 기업을 적당한 가격에 사는 것'이 '적당한 기업을 좋은 가격에 사는 것'보다 훨씬 현명하고 수익성 높은 전략이라고 말한다.</t>
  </si>
  <si>
    <t>【The FIVE】#114-041</t>
  </si>
  <si>
    <t>투자란,
좋은 기업을
적정 가격에 사서
오래 보유하는 것!
참 쉽다.
그런데
참 어렵다.</t>
  </si>
  <si>
    <t>마태복음 12:22~37</t>
  </si>
  <si>
    <t>■ 묵상 : '나무가 좋으면 그 열매도 좋고 나무가 나쁘면 그 열매도 나쁘다. 나무는 그 열매를 보면 알 수 있다'..나의 열매는 어떠한가? 나를 통해서 어떤 열매가 맺혀있는가? 열매가 있기는 한걸까? 내 스스로 열매를 만들어 낼 수 없다. 나뭇가지는 줄기에 붙어있으면, 자연스럽게 줄기로부터 양분을 받아 열매를 맺게 된다. 주님께 붙어있자. 주님. 제 노력과 공로로 스스로 열매를 맺으려고 노력하는 것이 아닌, 주님께 붙어서 주님께서 주시는 양분으로 자연스럽게 주님의 열매가 맺혀지기를 기도합니다. 아멘.
■ 감사 : 오늘도 즐겁고 기대되는 하루가 될수 있어 감사합니다. 멘토와 함께 식사하고 서로격려 할 수 있어 감사합니다. 매일매일이 연약하지만, 매일매일 주님의 긍흉을 바라고게 하시니 감사합니다. 미향이와 하남매가 시드니에서 건강하고 행복하게 시간을 보낼 수 있어 감사합니다. 오늘도 최선을 다해서 하루를 보내도록 하겠습니다. 감사합니다. 고맙습니다.</t>
  </si>
  <si>
    <t>■ Footprints in Books
- 찰리 멍거의 투자 철학은 지능보다 기질을 중시하는 데서 시작함. 가장 큰 적은 잦은 매매이며, 복리의 마법을 온전히 누리기 위해 '엉덩이의 힘'으로 인내하며 기다리는 것이 핵심임. 그는 자신의 능력 범위를 명확히 알고, 이해할 수 없는 복잡한 사업은 '너무 어려움' 바구니에 던져버릴 것을 강조함. 성공을 쫓기보다 뒤집어 생각하기(역발상)를 통해 멍청한 실수를 피하는 데 집중하며, 특히 레버리지는 파멸의 주범이므로 철저히 멀리해야 함. 
- 분산 투자는 무지를 보호하는 수단일 뿐이므로, 확실한 해자를 가진 소수의 위대한 기업에 집중 투자해야 함. 또한 평생 독서하는 기계가 되어 지혜를 복리로 쌓고, 체크리스트를 통해 감정적 판단을 배제하는 규율이 필수임. 결국 투자는 좋은 기업을 적정 가격에 사서 오래 보유하는 단순한 진리를 지키는 과정임</t>
  </si>
  <si>
    <t>■ My Strategy
- 주식창의 변동성을 감당할 수 있는 사람은 없다. 주식창은 닫고, 책을 열자.
- 점유비와 수익률이 자동으로 표출되도록 했다. 더 파이브의 세팅이 조금씩 완성되어 간다.
- 당분간 더이상 매매는 없다. 엉덩이를 붙이고 복리의 마법을 지켜보자
- 일주일동안 차트를 보지 않을 수 있을까? 유투브 숏츠보다 더 중독성이있는 차트...</t>
  </si>
  <si>
    <t xml:space="preserve"> - 투자는 남을 따라하면 안된다. 
    자신에게 잘 맞는 자산 배분 비율을 파악하라
 - 주식을 10년 동안 보유할 생각이 아니라면, 
   단 10분도 소유하지 마라 (워런벗핏)
 - 하락장은 두려움을 시험하지만, 인내는 결국 수익으로 답한다
 - 투자에서 공부는 무기, 충동은 독이다</t>
  </si>
  <si>
    <t>【The FIVE】#115-042</t>
  </si>
  <si>
    <t>마태복음 12:38~50</t>
  </si>
  <si>
    <t xml:space="preserve"> ■ 묵상 : '누가 내 어머니이고 내 형제들이냐' 누구든지 하늘에 계신 내 아버지의 뜻을 행하는 사람이 내 형제요, 자매요, 어머니다. 
■ 감사 : 오늘도 즐겁고 기대되는 하루가 될수 있어 감사합니다.                        오늘도 최선을 다해서 하루를 보내도록 하겠습니다. 감사합니다. 고맙습니다.</t>
  </si>
  <si>
    <t>【The FIVE】#116-043</t>
  </si>
  <si>
    <t>의심이 믿음으로!</t>
  </si>
  <si>
    <t>마태복음 13:1~17</t>
  </si>
  <si>
    <t>■ 묵상 : 죄의 욕심에 사로잡혀서 영적 감각을 읽어버린 눈과 귀는 천국의 가치와 신비를 이해할 수 없다. 말씀 자체이신 예수님으로부터 직접 말씀을 들어도 깨닫지 못하는 사람이 있다는 것은 생명력 넘치는 씨앗이 있어도 내 자신의 마음밭이 준비가 되지 않으면 열매를 맺을수 없다는 의미이다 마음밭을 기름지게 하는 것은 선한 마음과 진리에 대한 목마름이다. 주님, 참으로 가치있는 삶이 무엇인지 날마나 고민하는 마음을 주심에 감사합니다. 아멘. 
■ 감사 : 오늘도 즐겁고 기대되는 하루가 될수 있어 감사합니다. '결핍'을 통해 삶의 참 의미를 고민하게 하시니 감사합니다. 미향이와 하남매가 시드니에서 건강하고 행복하게 여행할 수 있어 감사합니다. 업무에 마인드맵을 적용하여 이해도를 높여갈수 있어 감사합니다. 찰리 멍거의 투자에 대한 철학을 배우게 되어 감사합니다. 골프 스윙의 새로운 세계를 경함하게 하시니 감사합니다. 오늘도 최선을 다해서 하루를 보내도록 하겠습니다. 감사합니다. 고맙습니다.</t>
  </si>
  <si>
    <t>■ Footprints in Books
- "여러분은 통찰이 얼마나 필요하십니까? 장담하는데 평생 필요한 통찰은 그다지 많지 않습니다. 버크셔는 막대한 부를 축적했지만 그 대부분이 최고의 통찰 10개로 얻은 것입니다. 매우 뛰어난 한 사람이 평생 헌신한 결과입니다."
- "내가 여러분에게 주는 티켓을 이용하면 투자 실적을 극적으로 높일 수 있습니다. 이 티켓은 20번만 사용할 수 있습니다. 여러분이 평생 20번만 투자할 수 있다는 뜻입니다. 즉 20번 투자한 다음에는 더 투자할 수 없습니다. 이 원칙을 따른다면 여러분은 투자를 정말로 신중하게 생각할 것이고 정말로 깊이 생각한 종목만 사게 될 것입니다. 따라서 실적이 훨씬 좋아질 것입니다.”</t>
  </si>
  <si>
    <t xml:space="preserve">■ My Strategy
- 찰리 멍거의 말이 맞았다. 방향이 맞다면 엉덩이를 깔고 앉아 기다려야 한다. 요며칠 샌디스크와 마이크론이 큰폭으로 하락하면서 마음의 동요가 컸지만, 방향은 정확하다고 판단하며 기다렸다. 마음은 여전히 불안하고 힘들었는데, 오늘 두 종목 모두 큰 폭으로 급등했다. 주가는 한치앞도 알수 없다. 그러니 '예측'하려고 하지말고, 발전가능하면서도 저평가된 기업을 확인하고 기다려야한다. 
- 기다림은 참으로 어렵다. 그래서 독서가 유용하다. 책을 읽고 있는 그 순간은 시간도 공간도 사라지는 무아의 세계가 펼쳐진다. 나와 세계적인 거장이 마주 않아 대화를 나눈다. 나를 위해 조언해준다. 참으로 감사한 일이다.  </t>
  </si>
  <si>
    <t>■사람은 타인의 삶의에서 두가지를 배운다. 무엇을 해야 하는지, 그리고 무엇을 하지 말아야 하는지
■주식투자는 한 그루의 나무를 키우는 것과 같다, 시간과 인내 보살핌이 필요하다. 그렇게 시간이 흐르면 나무는 마침내 부의 결실을 맺는다
■주식은 배우자를 선택하듯 오래 함께할 인연이라는 마음으로 사야한다 
■투자에서 중요한 것은 타이밍이 아니라 보유 기간이다
   인내와 끈기는 최고의 투자 습관이다. 시장의 변동을 견디는 힘이 곧 수익을 만든다</t>
  </si>
  <si>
    <t>【The FIVE】#117-044</t>
  </si>
  <si>
    <t>나의 능력범위' 
안에서만 움직여야 한다.
핵심은 나의 능력범위를
넓히는 노력
이  필요한다.
결국
독서와 공부
만이 성공 투자의
지름길이다</t>
  </si>
  <si>
    <t>마태복음 13:18~30</t>
  </si>
  <si>
    <t>■ 묵상 : 나의 마음밭은 '가시덤불'이다. 하나님의 말씀이 심기었지만, 세상의 걱정과 돈의 유혹이 말씀을 가로막아 열매 맺지 못했다. 하나님은 그런 나를 포기하지 않으시고, 북경 땅으로 보내셨다. 이곳에서 참 신앙인으로 삶을 사는 여러 사람들을 만나게 하시고, 시련과 연단을 받게 하시고, 이세상의 주관자가 하나님이심을 깊이 깨닫게 하셨다. 가시덤불 같던 나의 마음밭을 하나님께서 일궈나가심을 느낀다. 주님. 저의 마음밭을 옥토로 일궈주시고 말씀이 심겨 100배 열매 맺는 인생 되게하옵소서. 아멘.
■ 감사 : 오늘도 즐겁고 기대되는 하루가 될수 있어 감사합니다. 미향이와 하남매가 시드니 여행을 마치고 조금전 비행기를 탑승했습니다. 여행중에 안전하게 지켜주심에 감사합니다. 장거리 비즈니스를 경험할 수 있는 기회를 주심에 감사합니다. 오늘도 최선을 다해서 하루를 보내도록 하겠습니다. 감사합니다. 고맙습니다.</t>
  </si>
  <si>
    <t>■ Footprints in Books
- 주식투자의 핵심은 단순함에 있다. 복잡한 기법, 똑똑해 보이려는 허영심을 버리고, 자신이 확실히 이해하는 '능력의 범위' 안에서만 투자하는 것이 중요하다. 모르는 분야는 과감히 '너무 어려움' 서류함에 던져버리고, 의미 없는 99%의 소음은 걸러내야한다. 
- 또한, 질투와 조급함을 강력히 경계해야 한다. 타인의 성공에 휘둘려 무리하게 뛰어드는 것은 지옥으로 가는 길이다. 투자는 잦은 매매가 아닌 인내심의 싸움이다. 엉덩이를 무겁게 붙이고 기다릴 때 복리의 마법이 비로소 작동한다. 남들이 탐욕스러울 때 두려워하고 공포에 질렸을 때 기회를 잡기위해서는 현금이라는 옵션을 보유해야 한다. 
- 결국, 투자는 지능보다 성품과 철학의 문제이다. 빨리 부자가 되려는 욕심을 버리고, 끊임없는 독서를 통해 타인의 실수에서 배우며 어제보다 조금 더 현명해지는 것이 가장 확실한 성공의 길이다!!</t>
  </si>
  <si>
    <t xml:space="preserve">■ My Strategy
- 찰리 멍거의 투자 철학을 매일 듣고 읽으며 그의 사상에 젖어들고 있다. 들으면 들을수록, 읽으면 읽을수록 너무 단순해서 너무 지키기 어렵다는 것을 깨닫는다. 인격수양과 자기통제가 투자의 핵심이라는 것을 누가 알았겠는가.
-샌디스크와 마이크론이 지난 2주간 급락후 서서히 제자리를 찾아가고 있다. 방향이 틀리지 않다면 오직 인내심만이 복리의 마법을 불러오는 열쇄이다. 
- 이제는 더 투자할 자금도 없고 해서, 주식앱은 홈화면에서 삭제해버리고, [The Five] 엑셀이 자동으로 업데이트 해주는 실적만 하루 한번 보기로 결심해본다. 책을 읽으며 젠슨황과 머스크같은 거인들이 나를 위해 일하는 모습을 지켜보자. </t>
  </si>
  <si>
    <t>■ 부자가 되는길 (The Way to Wealth)
 - 부자가 되고 싶다면 얻고자 하는 것 뿐만 아니라, 
   모으고자 하는 것도 생각해야 한다
 - 희망에 기대어 사는 자는 굶어 죽을 것이다
 - 고통 없이는 이득도 없다
 - 기술이 있는 사람이 재산을 가진다
 - 작은 지출을 조심하라, 작은 구멍이 결국 배를 침몰시키고 만다
 - 충실한 하인을 원한다면 자신을 섬겨라
 - 나이와 필요를 생각하고, 할 수 있을 때 저축하라, 
   해는 언젠가 저문다</t>
  </si>
  <si>
    <t>【The FIVE】#118-045</t>
  </si>
  <si>
    <t xml:space="preserve">주식이란
단순한 시세차익 수단이 
아닌, 기업의 소유권이다. 
성공적인 투자는
확실한 기회가 올 때까지
99%의 시간을
기다림에 할애하는 과정이다. </t>
  </si>
  <si>
    <t>마태복음 13:31~43</t>
  </si>
  <si>
    <t>■ 묵상 : '겨자씨'는 씨앗 가운데 가장 작은 씨앗이지만 자라면 모든 풀보다 더 커서 나무가 된다. 현재의 모습은 볼품없는 작은 겨자씨에 불과해 보이지만 주님 안에서 자라나면 큰 나무와 같이 공중의 새도 깃드는 나무로 자라나게 된다. 주님, 저로 주안에서 자라나게 하시고, 많은 생명을 품어낼 수 있는 큰 나무가 되게 하소서 아멘. 
■ 감사 : 오늘도 즐겁고 기대되는 하루가 될수 있어 감사합니다. 미향이와 하남매가 시드니에서 무사히 서울에 도착했습니다. 오늘 북경에 오게되는데 마지막 여정까지도 함께해주세요. 이제 내일부터 춘절연휴입니다. 체력보충하고 부족한 업무도 보완하게 해주세요. 오늘도 최선을 다해서 하루를 보내도록 하겠습니다. 감사합니다. 고맙습니다.</t>
  </si>
  <si>
    <t>■ Footprints in Books
- 주식투자의 핵심은 뛰어난 지능이 아니라 인내심 있는 기질을 갖추는 것이다. 복잡한 분석보다 단순한 원칙을 지키는 것이 중요하며, 특히 잦은 매매와 같은 어리석은 행동을 피해야 한다. 빈번한 거래는 불필요한 수수료와 세금을 발생시켜 복리의 마법을 훼손하는 가장 큰 적이기 때문이다.
- 성공적인 투자는 자신의 능력 범위 내에서만 움직이며, 확실한 기회가 올 때까지 99%의 시간을 기다림에 할애하는 과정이다. 시장의 일시적인 소음이나 타인에 대한 질투를 이겨내고, 주식을 단순한 시세 차익의 수단이 아닌 기업의 소유권으로 대해야 한다. 결국 투자는 화려한 기술이 아닌 엉덩이로 하는 것이며, 감정에 휩쓸리지 않고 묵묵히 자리를 지키는 자가 최후의 승자가 된다. 끊임없는 학습을 통해 실수를 줄이고 복리가 충분히 일할 시간을 주는 것이 부자가 되는 가장 단순하고 확실한 철학이다.</t>
  </si>
  <si>
    <t>■ My Strategy
- 한국 주식 시장의 구조적 활황이 보장된다면 한국 주식비중을 좀더 높여볼수 있겠다.
- 최근 며칠은 오름세와 내림세를 반복중이다. 
- 보유 종목 중 큰 하락폭을 보이는 종목에 대해서만 분할매수하며 평단을 낮추자.</t>
  </si>
  <si>
    <t xml:space="preserve">■ 투자에 있어 가장 근본이 되는 결정은 자산의 배분이다
 - 주식은 얼마나 가져가야 할까? 채권은 얼마나 보유해야 할까?
 - 현금성 자산은 얼마나 확보해야 할까?
 - [돈키호테]에 나오는 산초 핀자는 이렇게 말합니다 
   "현명한 자는 내일을 위해 오늘을 준비하고, 
    절대로 모든 달걀을 한 바구니에 담지 않는다" </t>
  </si>
  <si>
    <t>【The FIVE】#119-046</t>
  </si>
  <si>
    <t>신뢰'는 곱셈이다
(지혜+지식+자산+노력+
천부적기질+인맥.....) x 신뢰
= 내 인생의 가치
따라서,  나의 신뢰도가 '0'이 되는
순간 내 인생의 가치도 '0'이 된다.
멋지고 잘난 사람이 아니라
믿을 만한 사람이 되자.</t>
  </si>
  <si>
    <t>마태복음 13:44~58</t>
  </si>
  <si>
    <t>하늘나라는 밭에 숨겨진 보물과 같다. 어떤 사람이 그것을 반경하고는 감추어 두고 기뻐하며 돌아가 모든 재산을 팔아서 그 밭을 산다' - 마 13:1
'천국의 가치'를 알아본 사람은 그 천국을 갖기 위해 자신아 가진 모든 것과 맞바꾼다. 삶의 우선순위가 완전히 재정립 되는 것이다. 나는 천국의 가치를 알아보는가? 그 증거는 그것을 얻기위해 덜 중요한 다른 것들을 포기하는 삶으로 증명된다. 내 삶의 우선순위를 다시한번 생각해보자. 
주님, 주님과 동햏하는 곳이 곧 천국입니다. 지금도 그 천국을 누릴 수 있습니다. 그 천국을 누리기 위해 제가 그보다 덜 중요한 것들을 버릴수 있는 용기를 주세요. 아멘.</t>
  </si>
  <si>
    <t xml:space="preserve"> - 오늘도 즐겁고 기대되는 하루가 될수 있어 감사합니다. 
 - 미향이와 하남매의 시드니 여정에 보호하심과 인도하심 감사합니다. 
 - 오랜만에 일찍 잠들어 피로를 풀게되어 감사합니다. 
 - 9일간의 행복한 춘절 연휴를 누릴수 있음에 감사합니다. 
 - 춘절기간 '복덩이(강아지)' 위탁받아 즐거운 시간 보내게 해주시니 감사합니다.
 - 미향이가 돌아오고, 집이 깨끗해지고, 속옷과 양말통이 가득 찼습니다. 감사합니다.
 - [The FIVE]를 통해 날마다 성장하고 있음에 감사합니다. 
 - 오늘도 최선을 다해서 하루를 보내도록 하겠습니다. 감사합니다. 고맙습니다.</t>
  </si>
  <si>
    <t>■ Footprints in Books
- 주식 투자의 본질은 높은 수익보다 실패 요인을 선제적으로 제거하는 리스크 관리에 있다. 아무리 큰 성과를 쌓아도 단 한 번의 '0'이 곱해지면 모든 노력이 물거품이 되기 때문이다. 따라서 신뢰할 수 없는 대상에 투자하여 검증에 에너지를 낭비하기보다, 위험 요소를 사전에 배제해 거래 비용을 최소화해야 한다. 또한, 지적 겸손을 바탕으로 자신의 능력 범위를 엄격히 준수해야 한다. 자신이 무엇을 모르는지 인정하지 않는 무모한 확신은 투자의 가장 큰 적이다. 경영의 제1원칙인 '손실 최소화'를 명심하며, 회생 불가능한 투자는 매몰 비용의 오류에 빠지지 말고 과감히 손절해야 한다.
- 결국 투자는 복리의 원리를 올바르게 관리하는 과정이다. 투자뿐만 아니라 지혜또한 복리로 쌓아가는 결단이 자산을 지키는 가장 위대한 투자 전략이다</t>
  </si>
  <si>
    <t xml:space="preserve">■ 자산 배분 계획을 세울 때 가장 먼저 해야 할 일은 자신의 위험 성향을 파악하는 것
 - 이익의기쁨보다 손실의 고통이 더 크다.
 - 현재의 자산배분(주식+채권비율) 상태에서 나는 
   걱정 없이 잠을 편히 잠들 수 있는가? 
 - "황소도 돈을 벌고, 곰도 돈을 번다. 하지만 
    탐욕스러운 돼지는 도살당한다" </t>
  </si>
  <si>
    <t>【The FIVE】#120-047</t>
  </si>
  <si>
    <t xml:space="preserve">복리'의 마법은 우리가 상상하는 것 이상으로 엄청나다. 
단순한 '이자계산'의 공식이 아닌,
인생의 진리가 담겨있다
자산과 지혜 뿐만 아니라, 
우리가 추구하는 모든 영역에서
'복리'가 적용된다.
단순히 공식만 외우지 말고
그것이 어떻게 '공식'이 되었는지
그 원리를 깊이 깨달아야한다. </t>
  </si>
  <si>
    <t>마태복음 14:1~12</t>
  </si>
  <si>
    <t xml:space="preserve"> - '인생은 BCD 이다' 라는 말이 있다. 'Birth 태어나서 Death 죽을때까지 Choice 선택 하는 것'이 바로 '인생'이라는 의미다. 하지만, 미래를 알수 없는 인간에게 '선택'은 고통이고 언제나 후회를 안겨준다. 그래서 대부분의 사람은 '세상의 다수'가 선택하는 대로 따라간다. 불이익을 당하지 않고, 실수를 줄이고 싶어서다. 하지만, 세상 사람들 또한 미래를 알지 못한다. 모두가 장님처럼 절벽을 향해 돌진하는데, 그저 그 뒤를 따라가는 꼴이다. 
 - '진리'는 그 가치가 영원히 변하지 않는다. 수천년 전에도, 지금도, 또 수천년 후에도 그 가치가 변하지 않기 때문에 '진리'이다. 정직, 성실, 선행, 존중, 배려, 신뢰, 양보.....이러한 가치들은 영원히 존재한다. 진리이다. 그것이 미래다. 우리는 다 알고 있다. 이 진리의 기준으로 '선택'하면 된다. 하지만, 원하지 않는다. 지금 당장 내가 손해보는 것같기 때문이다. 믿음의 사람은 '육신의 정욕, 안목의 정욕, 이생의 자랑'을 내려놓고 진리를 선택해야하는 것이 사명이다. 주님, 내가 지금 손해보는 상황에서도 언제나 '진리'를 선택하는 용기를 주옵소서. 아멘.</t>
    <phoneticPr fontId="2" type="noConversion"/>
  </si>
  <si>
    <t xml:space="preserve"> - 오늘도 즐겁고 기대되는 하루가 될수 있어 감사합니다. 
 - 오늘 노한나 가정과 함께 점심식사를 하고 교제하게 되어 감사합니다.
 - 직장을 통해 많은 사람들에게 선행을 배풀수 있게 하심에 감사합니다.
 - 미래에 대한 걱정을 내려놓고 주님의 인도하심을 신뢰할수 있게 되어 감사합니다.
 - 독서와 투자공부를 통해 삶의 진리까지도 배우게 하시니 감사합니다.
 - IT를 다루는 능력을 통해 공부하는 것들을 체계화 할수 있어 감사합니다.
 - 뭉클 멤버들과 함께 언제나 즐겁게 스크린 골프 교제를 할수 있어 감사합니다.
 - 오늘도 최선을 다해서 하루를 보내도록 하겠습니다. 감사합니다. 고맙습니다.</t>
  </si>
  <si>
    <t>■ Footprints in Books
- 주식 투자의 핵심은 시장의 냉혹한 현실을 감정이 아닌 데이터로 받아들이는 것이다. 시장은 개인의 사정에 무심하며, 폭락은 투자자의 형편과 상관없이 발생한다. 따라서 자기연민이나 시장 탓을 멈추고 변화하는 규칙에 기민하게 적응해야 한다. 자신의 능력 범위를 명확히 인지하고 잘 모르는 분야에 뛰어드는 무모함을 경계하는 것이 생존의 핵심이다. 
- 투자는 단기적 요행을 바라는 도박이 아니라, 지루한 기다림을 견디며 스스로를 단련하는 장기적 과정이다. 실수를 겸허히 인정하고 끊임없이 공부하며 기본을 지킬 때, 자산과 지혜는 복리로 성장한다. 결국 투자는 시장을 비난하기보다 자신의 오류를 수정하며 세상의 원리에 맞춰 나를 변화시켜 나가는 끊임없는 적응의 과정이다</t>
  </si>
  <si>
    <t>■ 감정적 함정에서 벗어나기 위해 버려야할 것
  - 최신 편향: 오늘의 결과 ≠내일의 예측
  - 손실 회피: 위험 회피자 → 위험 관리자
  - 보유 효과: 소유 ≠ 가치
  - 앵  커  링: 원하는 가격까지 투자를 붙들고 있는 것.
  - 재무적태만: 건전한 투자의 기본을 배워야함.
→성공적인 투자자는 감정을 통제한다. 감정이 당신을
   흔드는 순간 당신의 포트폴리오에 먹구름이 드리운다.</t>
  </si>
  <si>
    <t>【The FIVE】#121-048</t>
  </si>
  <si>
    <t>인내심과 과감함
인내는 단순한 기다림이 아니다.
독서와 공부, 끊임없는 탐구를 통해
기회를 포착하는 순간들이다.
외적으로는 정적이지만
내적으로는 치열한 순간이다.
과감함은 외적으로는 치열할지라도, 내적으로는 이미 결론지어진
평온한 상태일 것이다.</t>
  </si>
  <si>
    <t>[Q.T묵상] 마태복음 14:13~21</t>
    <phoneticPr fontId="2" type="noConversion"/>
  </si>
  <si>
    <t xml:space="preserve"> - 어린 아이가 내놓은 작은 헌신. 하지만 그 어린 아이에게 그 오병이어는 가진 것의 전부였다. 아마도 어머니께서 싸주신 그날의 점심 저녁 도시락이었을 지도 모른다. 그것을 내어놓기는 어려운 일이다. 한참을 걸어 집으로 돌아가야했을 것이고, 아무것도 먹지 못한다면 매우 힘든 길이 될 것이다. 그 아이는 무리를 따라 예수님의 말씀을 들으며 큰 감동과 기쁨이 넘쳤고, 자신이 가진 못든 것을 주님께 내어드리고 싶은 마음이 솟아났다. 그리고 예수님은 그 어린아이의 헌신을5000명이 넘는 사람들을 배불리 먹이시는 큰 사역에 사용하셨다. 
 - 내가 가진 것은 세상사람들과 비교했을때 보잘 것 없다. 고작 이런 것으로 무엇을 할수 있으랴... 하지만, 주님의 말씀을 듣고 묵상 할때면 가슴이 벅차오른다. '섬기는 자로 쓰신다'는 말씀에 큰 감동과 기쁨이 생긴다. 보잘 것 없는 것으로 어떻게 쓰실지는 알 수 없지만, 주님 앞에 내어드리고 싶다. 주님, 제 마음에 기쁨으로 드리는 이것들을 받아주시고, 주님의 일에 사용하여 주옵소서.아멘. </t>
    <phoneticPr fontId="2" type="noConversion"/>
  </si>
  <si>
    <t xml:space="preserve"> - 오늘도 즐겁고 기대되는 하루가 될수 있어 감사합니다. 
 - 민하네 가정과 함께 교제하며 즐거운 나눔 있게 하시니 감사합니다.
 - 하남매와 '모노폴리' 게임을 하며 즐거운 시간 보낼수 있어 감사합니다.
 - 위탁 강아지 '복덩이'와 함께 즐거운 시간 보낼 수 있어 감사합니다.
 - 연락을 오래 못한 지인들과 새해 인사 나누며 소식 전하게 되어 감사합니다.
 - [더파이브]를 T스토리 블로그에 등재하며 기록을 쌓아갈수 있게 되어 감사합니다.
 - 연휴기간 푹 쉬며 피로를 풀고 새힘을 얻게 되어 감사합니다.
 - 각종 지수를 자동으로 업데이트하는 기능을 적용할수 있게 되어 감사합니다.
 - 오늘도 최선을 다해서 하루를 보내도록 하겠습니다. 감사합니다. 고맙습니다.</t>
  </si>
  <si>
    <t>■ Footprints in Books : '기다림과 집중투자'
-찰리 멍거에게 투자는 지능보다 인내심을 시험하는 기질의 게임이다. 투자의 99%는 기다림이며, 확실한 기회는 평생 20번도 오지 않기 때문이다. 따라서 타석의 타자처럼 자신만의 스트라이크 존에 가장 치기 좋은 공인 ‘팻 피치(Fat Pitch)’가 올 때까지 방망이를 휘두르지 않고 하염없이 기다려야 한다.
-결정적인 기회가 포착되면 분산 투자로 수익률을 희석하지 말고 트럭으로 퍼담듯 과감하게 집중 투자해야 한다. 분산 투자는 무지를 보호하는 수단일 뿐이며, 진짜 부는 강력한 해자를 가진 소수 기업에 자본을 집중하는 데서 나온다. 복리가 작동할 때까지 엉덩이를 무겁게 하고 버티는 인내와 확실한 순간에 크게 거는 결단력이 투자 철학의 핵심이다.</t>
  </si>
  <si>
    <t>전통적인 반도체 사이클에서는 업황 정점 6~12개월 전 주가가 하락했다. 하지만 이번 AI 사이클은 다른 양상을 보일 가능성이 높다. 
과거 사이클은 수요 증가, 가격 상승, 투자 확대, 공급 과잉, 재고 조정 순서였다. 현재는 빅테크의 지속적 AI 모델 고도화 수요와 각국 정부의 소버린 AI 도입으로 사이클이 연장되고 있다</t>
  </si>
  <si>
    <t>【The FIVE】#122-049</t>
  </si>
  <si>
    <t>나에게는 몇개의
격자틀 인식모형이
구축되어 있는가??
좀더 다양한 관점에서
식견을 넓힐 필요가 있다
폭넓은 주제로 독서하며
다양한 사람과 교류하자</t>
  </si>
  <si>
    <t>[Q.T묵상] 마태복음 14:22~36</t>
    <phoneticPr fontId="2" type="noConversion"/>
  </si>
  <si>
    <t xml:space="preserve"> - 베드로는 자기도 예수님과 같이 물 위를 걷기를 구하고, 물위를 걷는 기적을 체험했지만, 거센 풍란을 보는 순간 두려움이 휩싸였고, '믿음'이 흔들리는 순간 곧 바로 물속으로 가라앉았다. 신앙생활은 탄탄대로를 걷는 것이 아니라, 믿음이 아니면 설수조차 없는 물위를 풍랑속에서 걷는 것이다. 내 인생을 든든하게 지켜줄 '보험'을 드는 것이 아니라, 내 인생을 주님께 맡기고 '모험'의 길, 곧 '십자가'의 길을 따르는 것이다. 
 - 두려움은 영적 파괴력을 지닌다. 인간의 죄성을 증폭하고, 모든 초첨을 '예수님'으로부터 '나'에게로 돌린다. 사탄은 이러한 인간의 약점을 너무나 잘 안다. 주님께 조금이라도 뜨거워 지고, 헌신을 결단하려하면 곧 '먹고 사는 문제'로 겁박을 한다. 불이익을 당할 것 같은 두려움은 뜨거우진 내 영에 찬물을 끼얹는다. 결국, 두려움을 이길수 있는 길은 '문제'보다 크신 주님을 신뢰하는 것이다. 주님, '문제'보다 크신 주님을 신뢰하는 믿음을 제게 주옵시고, 풍랑을 헤치고 물위를 걸으며 주님과 동행하는 인생 되게하옵소서.  아멘. </t>
    <phoneticPr fontId="2" type="noConversion"/>
  </si>
  <si>
    <t xml:space="preserve"> - 오늘도 즐겁고 기대되는 하루가 될수 있어 감사합니다. 
 - 두려움 속에서도 믿음의 길을 걷고자 하는 마음을 주심에 감사합니다.
 - 그동안 쌓여있던 피로를 연휴기간동안 충분히 풀수 있어 감사합니다.
 - 날마다 책을 읽으며 성장의 길을 걷게 되어 감사합니다.
 - [더 파이브] 를 통해 건강한 생활 습관을 갖게되어 감사합니다. 
 - '섬기는 자'로서의 삶에 대한 비전을 주심에 감사합니다. '언제, 어디로, 무엇을 어떻게' 
    해야할지는 모르겠지만, '왜(Why)'에 대한 명확한 답을 주심에 감사합니다. 
 - 오늘도 최선을 다해서 하루를 보내도록 하겠습니다. 감사합니다. 고맙습니다.</t>
  </si>
  <si>
    <t>■ Footprints in Books
- 찰리 멍거는 독서를 하지 않고 부자가 된 현자를 본 적이 없다고 강조한다. 투자는 끊임없는 학습의 과정이며, 지식은 돈과 마찬가지로 복리로 쌓여 강력한 경쟁 우위가 된다. 투자자가 명심해야 할 핵심은 ‘격자틀 인식 모형’의 구축이다. 한 가지 학문에만 매몰된 사람은 모든 문제를 '못'으로 보는 ‘망치를 든 사람’의 오류에 빠지기 쉽기 때문이다. 망치를 가진 사람에게 모든 문제는 '못'으로 보인다. 
- 따라서 경제학뿐만 아니라 심리학, 역사학, 수학, 생물학 등 여러 학문의 핵심 아이디어를 연결하여 세상을 입체적으로 조망해야 한다. 이러한 통섭적 사고는 복잡한 시장의 본질을 꿰뚫고 오판을 막아주는 안전벨트가 된다. 투자자는 매일 밤 잠들기 전 아침보다 조금 더 현명해지겠다는 목표로 끊임없이 학습하는 기계가 되어야 한다.</t>
  </si>
  <si>
    <t>■ 인텔이 세계 1위 반도체 기업으로 거듭난 배경
 - IBM은 PC시장을 본격적으로 개화시킨 주인공이며, 인텔은 IBM 표준을 따르면서 IBM PC의 폭발적인 판매 증가세와 함께 세계적인 반도체 기업으로 거듭났다
 - 반도체 산업 투자에 있어서도, 전방 산업이 무슨 제품을 채택하는지 주의 깊게 살펴보는 것이 무엇보다 중요하다. 아무리 반도체를 잘 만들어도 전방 시장이 사주지 않는다면 무가치하다.</t>
  </si>
  <si>
    <t>취침 - 23:00
기상 - 06:30</t>
  </si>
  <si>
    <t/>
  </si>
  <si>
    <t>【The FIVE】#123-050</t>
  </si>
  <si>
    <t>시세차익을 노리는 장사꾼
기업을 소유하는 경영자
나는 장사꾼인가 경영자인가?
기업을 소유하고
경영한다는 마음으로
투자에 임하자</t>
  </si>
  <si>
    <t>[Q.T묵상] 마태복음 15:1~20`</t>
    <phoneticPr fontId="2" type="noConversion"/>
  </si>
  <si>
    <t xml:space="preserve"> - 신앙인이 죄에 빠지면 회개할 수 있지만, 위선에 빠지면 자신의 상태를 자각하지 못해 회개조차 하지 못한다. 위선적인 종교인은 자신의 죄는 덮고 겉만 깨끗하게 보이려고 하기 때문이다. 우리는 매일 말씀의 거울 앞에서 내면을 비추며 자신을 돌아보아야 한다.
 - 선한 인생은 없다. 말씀의 거울에 자신을 비춰보면, 죄악으로 가득찬 내 모습만 있을 뿐이다. 믿지 않는 사람에게, 초신자에게 믿음의 삶을 권면하지만, 정작 말씀의 거울에 비춰보는 내 모습은 권면할 자격조차 없는 죄인의 모습을 발견한다. 그럴때마다 깨끝한 척이 아니라, 예수님께 감사하고 그 앞에 엎드려야한다. 그 죄악된 나를 위해 예수님께서 십자가에 달리셨기 때문이다. 오직, 예순님의 보혈로 죄인된 나조차 하나님 앞에 의롭다 인정받을 수 있다. 주님, 자격없는 죄인을 하나님 앞에 의로운 자로 세워주시니 감사합니다. 겸손한 마음으로 주님의 말씀을 전하는 삶을 살고자 합니다. 성령충만하게 하옵소서. 아멘.</t>
    <phoneticPr fontId="2" type="noConversion"/>
  </si>
  <si>
    <t xml:space="preserve"> - 오늘도 즐겁고 기대되는 하루가 될수 있어 감사합니다. 
 - 연휴 기간 잘 먹고 잘 쉬고 또 밀린 공부도 할수 있어 감사합니다.
 - 자녀들과 함께 공부하고, 쉬며 의미있는 시간을 보낼 수 있어 감사합니다.
 - 독서를 통해 깨닫는 즐거운을 주심에 감사합니다. 
 - 골프 스윙의 새로운 원리를 깨닫고 좋은 퍼포먼스를 발휘하게 되어 감사합니다. 
 - [더파이브]를 블로그로 운영하고 체계적인 관리를 할수 있게 되어 감사합니다. 
 - 혼자 있는 시간을 헛되이 보내지 않고 생산적인 활동을 할 수 있어 감사합니다. 
 - 오늘도 최선을 다해서 하루를 보내도록 하겠습니다. 감사합니다. 고맙습니다.</t>
  </si>
  <si>
    <t>■ Footprints in Books
- 찰리 멍거는 주식을 단순한 시세 차익의 도구가 아닌 기업의 소유권으로 보아야 한다고 강조한다. 투자는 부동산 상가를 매입하여 운영하는 것과 같으므로, 단기적인 가격 변동에 일희일비하며 사고파는 투기꾼의 자세를 버려야 한다. 투자자가 명심해야 할 핵심은 강력한 해자를 가진 훌륭한 기업을 적당한 가격에 사서 반영구적으로 보유하는 것이다.
- 그는 "이 기업을 10년 동안 소유할 마음이 있는가"를 스스로 물으라고 조언하며, 주식 시장이 향후 5년간 문을 닫아버려도 편안하게 생각할 수 있는 기업에 투자할 것을 권한다. 훌륭한 기업은 시간이 흐를수록 투자자를 위해 스스로 가치를 만들어내며 일하기 때문이다. 따라서 투자자는 기업이 성장의 결실을 맺을 때까지 불필요하게 개입하지 않고 인내하며 기다리는 경영자적 마인드를 가져야 한다. 이것이 복리의 마법을 온전히 누리는 비결이다.</t>
  </si>
  <si>
    <t xml:space="preserve">■ 초보자는 실적 증가에 집중한다. 그러나 노련한 투자자는 실적 증가 속도에 더욱 집중한다
 - 성장주 주가가 실적 성장이 멈출 때부터 하락한다고 생각한다면 대단한 오산이다
 - 주가는 기업이 여전히 성장 중이라도 성장 속도가 느려지면 급락하기 시작한다, 스마트폰, 부품주 또한 그랬다 </t>
  </si>
  <si>
    <t>취침 - 23:00
기상 - 09:00</t>
  </si>
  <si>
    <t>【The FIVE】#124-051</t>
  </si>
  <si>
    <t xml:space="preserve">인간의 행동은 
인센티브에 의해 좌우된다
인센티브 작용은 회사와 개인간의
관계에 국한되지 않고, 친구, 가족,
나 자신까지도 모두 포괄한다
인센티브의 작용에 대해
심도있게 연구하자
</t>
  </si>
  <si>
    <t>[Q.T묵상] 마태복음 15:21~28</t>
    <phoneticPr fontId="2" type="noConversion"/>
  </si>
  <si>
    <t xml:space="preserve"> - 귀신 들린 딸을 둔 이방 여인이 예수님 앞에 엎드려 자비를 구하자 예수님은 그녀를 무시한다. 여인이 더욱 간구하자 예수님은 '자녀들의 빵을 가져다 개들에게 던져주는 것은 옳지 않다' 라고 말씀하시며 차갑게 거절한다. 여인은 자신을 '개'에 비유했음에도 개의치 않고 '개도 주인의 상에서 떨어지는 빵부스러기를 먹는다'며 '부스러기 긍휼'이라도 간절히 원한다. 예수님은 그녀의 믿음을 인정하고 칭찬하신다. 그녀의 딸은 곧 낫게 되었다.
 - '부스러기 긍휼'.... 나에게는 그런 간절함이 있는 걸까? 해쳐나가기 힘든 상황에 직면하고 있으면서도, 주님께 갈구하기 보다는 '걱정, 불안'으로 시작해 '어떻게 되겠지' 하는 자포자기 심정이 되고 결국 실질적인 문제가 되어 내삶에 어려움을 가져다주게 되면 그제서야 주님앞에 엎드린다. 하지만, 그런 상황에서도 이 여인과 같은 '부스러기 믿음'은 없다. 진정한 믿음은 주님의 전지전능하심과 나의 미약함이 인정되고, 당혹스러운 문제에 직면하고 주짐의 침묵이 이어질때 조차 '부스러기 믿음'의 태도를 갖는 것이다. 주님, 저의 믿음을 시험하시고 연단하시고 참 신앙인의 삶으로 인도해주세요. 아멘. </t>
    <phoneticPr fontId="2" type="noConversion"/>
  </si>
  <si>
    <t xml:space="preserve"> - 오늘도 즐겁고 기대되는 하루가 될수 있어 감사합니다. 
 - 말씀 앞에 설때에 나의 문제를 직시하고 주님앞에 엎드리게 하시니 감사합니다.
 - 세상의 공허함 속에 버려두지 않으시고 믿음의 삶으로 초대해 주셔서 감사합니다. 
 - 휴일이 끝나가고 있습니다. 아쉬운 마음과 불안한 마음 가운데 중심을 지켜주세요.
 - 오늘 Q.T를 통해 '진정한 믿음'에 대해 묵상하게 하시니 감사합니다. 
 - 자녀들과 '50분 공부 + 10부 휴식' 릴레이를 할수 있게 되어 감사합니다. 
 - 골프에 발전이 있게 되어 감사합니다. 
 - 오늘도 최선을 다해서 하루를 보내도록 하겠습니다. 감사합니다. 고맙습니다.</t>
  </si>
  <si>
    <t>■ Footprints in Books
- “인센티브를 보여주면 결과를 보여주겠다”...찰리 멍거가 강조하는 보상 체계, 이센티브의 힘이다. 사람의 행동은 논리보다 무엇을 얻고 잃느냐는 보상 구조에 의해 결정되기 때문이다. 투자자는 타인의 조언을 들을 때 그 이면의 이해관계를 반드시 파악해야 한다.
- 특히 금융 업계의 인센티브는 투자자의 이익과 상충할 때가 많다. 증권사는 고객이 자주 매매해야 수수료 수익을 얻기에 끊임없는 거래를 부추긴다. “이발사에게 이발이 필요한지 묻지 말라”는 말처럼, 자신의 지갑을 채우는 방식이 고객의 이익과 상충하는 이의 조언은 소음일 뿐이다. 전문가들조차 이익을 위해 무의식적으로 편향된 주장을 믿는 ‘자기 기만’에 빠지기 쉽다는 사실을 명심해야 한다. 결국 보상 구조를 꿰뚫어 보는 통찰력이 기만으로부터 자산을 지키는 핵심이다.</t>
  </si>
  <si>
    <t>■ 엔비디아 : 3월 16일 'GTC 2026'에서 차세대 '파인만(Feynman)' 아키텍처 발표 예상. 삼성전자와 SK하이닉스의 6세대 고대역폭 메모리 HBM4 공급 경쟁이 새 국면을 맞이할 것으로 전망.
■ TSMC : 인공지능(AI) 수요 급증에 맞서 역대 최대 규모의 설비투자를 단행하면서, 글로벌 반도체 업계 전반이 동시 다발 증설 경쟁에 돌입</t>
  </si>
  <si>
    <t>【The FIVE】#125-052</t>
  </si>
  <si>
    <t>찰리 멍거!
당신을 존경합니다!
당신의 투자철학과
삶의 지혜를 
배우고 실천하겠습니다.
감사합니다.</t>
  </si>
  <si>
    <t>[Q.T묵상] 마태복음 15:29~39</t>
    <phoneticPr fontId="2" type="noConversion"/>
  </si>
  <si>
    <t xml:space="preserve"> - '말 못하던 사람이 말을 하고, 다리를 절던 사람이 낫고, 걷지 못하던 사람이 걷고, 눈먼 사람이 보게 된 것을 보고 모두 놀랐습니다. 그리고, 이스라엘의 하나님께 영괄을 돌렸습니다'
 - 이 얼마나 감동스러운 장면인가. 각 개인들의 인생을 짓누르던 질병들이 치유를 받고 평범한 사람들과 같은 '정상적인 삶'을 살수 있게 된 그들의 기쁨은 얼마나 클 것인가. 그들이 일확천금을 하여 기뻐허하는 것이 아니다. 그저 평범한 사람들이 누리던 일상의 행복을 회복하게 된 것이다. 나는 말을 못하는가? 다리를 절고 있나? 걷지 못하고 있나? 눈이 멀었나?.... 아니다. 모두 정상이다. 그렇다면 예수님께 치유받고 영광돌리는 그들과 같은 기쁨과 감사를 누려야한다. 하지만, 나는 더 많이 갖지 못해 아쉬워하고, 더 많이 누리지 못해 힘들어한다. 주님, 제 안에 욕심의 죄가 은혜를 가리고, 감사를 잊게하며, 불행한 마음을 만들어냅니다. 성령을 충만케 하시고, 영의 눈을 열어 지금의 삶이 얼마나 감사하고 행복한 사람인지 깨닫게 하옵소서. 아멘.</t>
    <phoneticPr fontId="2" type="noConversion"/>
  </si>
  <si>
    <t xml:space="preserve"> - 오늘도 즐겁고 기대되는 하루가 될수 있어 감사합니다. 
 - 정상적인 삶을 누림에 감사와 찬송과 영광을 돌립니다.
 - 자녀들이 건강하게 잘 자람에 감사합니다. 
 - 가정이 믿음으로 세워져 감에 감사합니다. 
 - 독서와 공부를 통해 성장하고 있음에 감사합니다. 
 - 투자를 통해 소귀의 성과를 얻고 있음에 감사합니다. 
 - 좋은 분들과 함께 '26년 첫 라운딩을 가게됨에 감사합니다.
 - 오늘도 최선을 다해서 하루를 보내도록 하겠습니다. 감사합니다. 고맙습니다.</t>
  </si>
  <si>
    <t>■ Footprints in Books
- 찰리 멍거는 투자자가 심리적 편향을 극복하는 것이 지능보다 중요하다고 강조한다. 특히 질투는 즐거움이 전혀 없는 가장 멍청한 죄악이며, 자기 연민은 현실 직시를 방해하는 마약과 같아 반드시 경계해야 한다. 또한 자신의 가설만 믿으려는 확증 편향을 깨고 스스로의 아이디어를 파괴할 줄 아는 유연함을 가져야 오판을 막을 수 있다.
- 동시에 정직과 신뢰는 가장 실용적이고 강력한 비즈니스 전략이다. 정직은 거짓을 유지하기 위한 뇌의 에너지 낭비를 줄여주며, 신뢰라는 자산은 거래 비용을 낮추고 더 위대한 기회를 끌어당긴다. 결국 똑똑한 척하는 바보보다 자신의 한계를 인정하고 정직함을 지키는 사람이 투자 시장에서 최후의 승자가 된다.</t>
  </si>
  <si>
    <t>- 수많은 투자자를 분석해본바에 따르면 기술에 주목하는 투자자보다 다른 산업에 고루 적용할 수 있는 투자 원칙을 앞세우는 투자자가 반도체 산업에서도 수익률이 월등히 높았다
- 즉 기술을 잘 이해하는 투자자보다 그냥 투자를 잘 해왔던 투자자가 승산이 높은 것이다. 투자자는 투자를 공부하고 투자 경험을 쌓아야지, 그 분야의 전문가가 될 필요는 없다. 기술보다는 가격과 시기에 집중하는 투자 전략을 놓치지 말아라</t>
  </si>
  <si>
    <t>취침 - 01:00
기상 - 07:00</t>
  </si>
  <si>
    <t>【The FIVE】#126-053</t>
  </si>
  <si>
    <t>그러므로 너희는
뱀과 같이 지혜롭고
비둘기 같이 순결하라
(마 10:16)
독서를 통해 지혜로워지고
말씀을 통해 순결해지자</t>
  </si>
  <si>
    <t>[Q.T묵상] 마태복음 16:1~12</t>
  </si>
  <si>
    <t xml:space="preserve"> -제자들은 예수님의 누룩에 대한 비유를 이해하지 못하고, 엉뚱이야기를 하지만, 예수님께서 다시 풀어서 설명해주시자 그제서야 이해를 했다. 제자들은 매일 매일 하루종일 예수님과 먹고 마시고, 이야기나누며 예수님과 함께 했지만, 예수님의 깊은 뜻을 쉽사리 이해하지 못했다. 하물며, 하루에 하나님의 말씀을 겨우 20~30분 묵상하는 수준의 나는 어떻겠는가... 예수님과의 교제에 점더 많은 시간을 할애해야한다. 그리고, 깨닫게 해주는 성령님에 내 안에 충만하실 수 있도록 정결하고 구별된 삶, 거룩한 삶을 유지해야겠다. 
- 오늘 주일 1부, 2부, 3부 예배에 모두 찬양팀으로 섬겼다. 하루에 동일한 찬양, 동일한 말씀으로 3번을 드렸지만, 피곤하지 않고, 오히려 은혜가 되었다. 내 마음속에는 '아브라함과 롯'이 함께 있다. 눈에 보이지 않는 하나님의 언약을 바라보는 아브라함과, 눈에 보기에 좋은 것을 쫒는 롯. 둘다 노정택의 모습이다. 아브라함은 롯과 이별한다. 롯에게 좋은 것을 먼저 선택하게 하며, 마지막까지 의롭게 롯을 떠나보낸다. 나도 내 마음속 롯을 떠나보내야겠다.</t>
  </si>
  <si>
    <t xml:space="preserve"> - 오늘도 즐겁고 기대되는 하루가 될수 있어 감사합니다. 
 - 하나님께 찬양 예배자로 살게 하심에 감사합니다. 
 - 목소리를 주셔서 하나님을 소리높여 찬양하게 하심에 감사합니다.
 - 독서를 새로운 방식으로 도전하게 됨에 감사합니다.
 - EdrawMind 를 활용해 지식을 체계화 할수 있게 되어 감사합니다. 
 - 스크린에서 연습했던 골프스윙이 필드에서도 통함에 감사합니다. 
 - 새로운 것에 끊임없이 도전하고 배우게 하심에 감사합니다.
 - 오늘도 최선을 다해서 하루를 보내도록 하겠습니다. 감사합니다. 고맙습니다.</t>
  </si>
  <si>
    <t>설득의 심리학(로버트 치알다니)</t>
  </si>
  <si>
    <t>■ Footprints in Books : 1.상호성의 원칙 2.호감의 원칙 3.사회적 증거의 원칙 4.권위의 원칙 5.희소성의 원칙 6.일관성의 원칙 7.연대감의 원칙
- '설득의 심리학'은 찰리 멍거가 강력하게 추천한 책이다. 학창시절 한번 읽었던 기억은 있지만, 특별한 감흥은 없었던 것 같다. 아마도 사회생활 경헙이 부족해 그랬으리라. 인생의 절반을 살아온 지금, 무엇보다 어려운 것이 '관계'라는 것을 알게되었고, 이 책이 내게 큰 도움이 되리라는 믿음이 생긴다. 새롭게 배울 수 있는 것들에 기대가 된다.
- 찰리 멍거는 '인센티브'의 중요성을 강조한다. 사람의 행동을 바꿀수 있는 강력한 무기이다. '인센티브'라고 하니 어려워 보이지만, 상대방의 이익이 어디서 생겨나는지, 상대방의 입장에서 그 '이익'과 연계하여 소통을 하면 효과적이라는 의미다. 지금까지 나는 '진심은 통한다'는 믿음 하나로 '진심'에 의지해 관계를 맺어왔다. 하지만, 역시나 '호불호'가 극명하게 갈리고, 그 사이에서 생겨난 오해와 불필요한 감정적 낭비가 컸다. 앞으로, 이러한 이론을 바탕으로 좀더 지혜로운 관계를 만들어가야겠다.</t>
  </si>
  <si>
    <t>- 월런버핏을 우리에게 경고했다 "평판을 쌓는 데는 20년이 걸리지만, 무너뜨리는 데는 5분 걸립니다. 이사실을 생각해보면 행동 방식이 달라질 것입니다" , 평판을 더럽힐 일은 절대 하면 안되는 것이다
- 우리의 교육의 핵심 요소는 실수로부터 배우는 것이다 자신의 실수로부터 배워라, 남의 실수로부터 배우면 더 좋다.</t>
  </si>
  <si>
    <t>【The FIVE】#127-054</t>
  </si>
  <si>
    <t>아무리 생각해봐도...
'관계'는 진심으로 대하는
방법 밖에는 없어보인다
원하는 결과를 얻기위해
전략적으로 접근하는
관계는 더이상 '관계'라고
할 수 없다.</t>
  </si>
  <si>
    <t>[Q.T묵상] 마태복음 16:13~28</t>
  </si>
  <si>
    <t xml:space="preserve"> - '주는 그리스도이시며 살아 계신 하나님의 아들이십니다'.. '너는 베드로다. 내가 이 반석 위에 내 교회를 세울 것이니...'
 - 주여, 절대로 안됩니다'.. '사탄아, 내 뒤로 물러가거라. 너는 나를 넘어뜨리는 걸림돌이다'
 - 예수님에 대한 베드로의 영적인 고백과 인간적 생각이 한순간에 두가지 극적 상황을 만들어낸다. 이것이 인간의 모습이고 또 나의 모습니다. 마음은 하나님을 갈구하지만, 우리의 생각은 언제나 인간적인 범주에 머물러 있다. 하나님의 도를 깨달으며 행복하고 즐겁다가도, 현실세계를 살아가기 위해 인간적으로 계산하고 고민하는 나의 모습이다. 수제자 베드로도 그랬었은데 하물며 내가 뭐라고 더 나을 수 있겠는가... 주님, 저의 인간적인 모습을 주님께 내어 놓습니다. 성령 충만케 하시고, 성령으로 제 인생을 인도해주세요. 아멘.</t>
  </si>
  <si>
    <t xml:space="preserve"> - 오늘도 즐겁고 기대되는 하루가 될수 있어 감사합니다. 
 - 어제 1부~3부 예배 찬양팀을 섬기면서, 같은 찬양과 말씀을 3번반복하였습니다. 
   그럼에도, 매번 감동과 기쁨이 넘쳤습니다. 제게 꼭 필요한 말씀을 반복학습으로 마음에 
   새길수 있어 감사합니다. 
 - 지인으로부터 선물받은 춘의원 온천 쿠폰을 사용해서 가족들과 춘의원 온천에 
   놀러왔습니다. 하남매 인생에 첫 온천경험을 주심에 감사합니다. 
 - 춘절 연휴기간, 가족들과 좋은 사람들과 즐겁고 행복한 시간 보낼수 있어 감사합니다.
 - 오늘도 최선을 다해서 하루를 보내도록 하겠습니다. 감사합니다. 고맙습니다.</t>
  </si>
  <si>
    <t>■ Footprints in Books : 1.상호성의 원칙 2.호감의 원칙 3.사회적 증거의 원칙 4.권위의 원칙 5.희소성의 원칙 6.일관성의 원칙 7.연대감의 원칙
- '상호성의 원칙'은 "다른 사람에게 무언가를 받으면 반드시 갚아야 한다"는 강력한 사회적 의무감을 의미한다. 사람들은 호의나 선물을 받으면 심리적 부채 의식을 느끼고, 이를 해소하려는 본능적 욕구가 생긴다. 마트의 무료 시식 코너, 화장품 매장의 무료 샘플 등이 그 예다. 소비자들은 무료로 받은 것에 대해 미안함을 느끼고 구매로 그 부채의식을 해소하려는 경향을 보인다. 상호성 원칙의 강력함은 '최초의 호의'가 아무리 작더라도 그에 대한 보답은 훨씬 클 수 있다는 점이다. 또한 상대방이 요청하지 않은 일방적인 호의라도 동일한 심리적 압박감을 만들어낸다. 
- '관계'를 '진심'의 관점에서만 생각하는 나로서는, '계산된 전략적 접근', '계산된 선의' 가 쉽게 받아들여지지 않지만, '관계성'을 단계별로 깊은 관계(가족, 친한 친구), 일반 관계(직장, 지인), 일회성 관계(고객, 1년에 1~2번 마주치는 관계)로 나눠보면, 일부 일반 관계와 일회성 관계에서는 상호성의 원칙을 적용해보는 것도 중요할 것 같다.</t>
  </si>
  <si>
    <t>■ My Strategy
- AI산업 섹터별로 Mind Map을 활용하여 심도있게 분석하고 숨어있는 기업 발굴.
- '오를만한 주식'을 사는 것이 아니다. 건강한 기업을 소유하는 것이다. 사업가의 마인드로 투자에 임하자.
- 인간의 행동은 인센티브에 의해 좌우된다. 사람을 설득하려면 이성이 아니라 이기심에 호소해야 한다.</t>
    <phoneticPr fontId="2" type="noConversion"/>
  </si>
  <si>
    <t>■찰리멍거 -  "사상이 훌륭했던 과거 인물을 모방하는 것도 효과가 있다." , "정직하면 항상 마음이 더 편하다고 말한다. 거짓말을 기억할 필요가 없기 때문이다"
■윌리엄오닐 - "손절매는 보험이다, 꽃밭에서 잡초를 뽑듯 수익율이 가장 나쁜 주식부터 매도하라"</t>
  </si>
  <si>
    <t>취침 - 21:30
기상 - 04:00</t>
  </si>
  <si>
    <t>【The FIVE】#128-055</t>
  </si>
  <si>
    <t>세상은 그리 호락호락 하지 않다
모두가 자기 이익을 위해 달린다
누군가는 선천적으로, 
또는 후천적으로 사람의 심리를
교묘히 이용하는 법을 깨닫는다
그리고 그에 의해
많은 사람들이 고통받지만,
'왜' 고통받는지 알애채기어렵다.
이제 그 심시의 세계로 
들어가보려 한다.</t>
  </si>
  <si>
    <t>[Q.T묵상] 마태복음 17:1~13</t>
  </si>
  <si>
    <t xml:space="preserve"> - '주여 우리가 여기 있으니 참 좋습니다.' .. 베드로는 변화산에서 목도한 하나님의 영광을 보며 그곳에 머물며 초막을 짓기를 원했다. 하지만, '갈보리산의 십자가'가 없다면 '변화산의 영광'도 없다. 
- 나 또한 변화산의 영광에 머물기를 원한다. 교회는 하나님의 사랑이 넘치고, 서로 격려하고, 도와주며 사랑한다. 하지만, 우리는 교회에만 머무를 수 없다. 세상속으로 들어가, 예수님의 삶을 살아내야 한다. 고난받고 핍박받고 넘어지고 쓰러져야 한다. 하지만, 우리가 그것을 견딜 수 있는 것은, 예수님께서 이미 십자가를 지시고 그 길을 걸으셨기 때문이다. 그리고, 우리에게 보혜사 성령님을 보내주심으로, 우리가 감당치 못할 시험당함을 허락치 아니하시고, 시험 당할 즘에는 또한 피할길을 주사 우리로 능히 감당케 하신다. 주님, 변화산에서 목도하 하나님의 영광은, 갈보리산에서의 받는 십자가 고난 위에서 완성됩니다. 저로 저의 십자가를 지고 주님을 따르게 하옵소서. 아멘.</t>
  </si>
  <si>
    <t xml:space="preserve"> - 오늘도 즐겁고 기대되는 하루가 될수 있어 감사합니다. 
 - 긴 연휴를 끝내고 첫 출근일입니다. 일찍 일어나 The FIVE를 할수 있게 하심에 감사합니다. 
 - 가족들과 연휴기간 행복한 추억을 많이 만들 수 있어 감사합니다.
 - 오랜만에 회사로 출근하는 마음이 부담이 크지만, 오늘 Q.T 묵상을 통해 '갈보리산'의 십자
   가를 지는 삷. 나의 십자가를 지고 주니을 따르는 삶을 결단체 하시니 감사합니다. 
 - 오늘 여행업계 분들과 즐거운 스크린 골프 교제를 할수 있어 감사합니다. 
 - MindMap으로 업무와 공부, 그리고 나의 삶 까지도 함께 정리해갈수 있어 감사합니다.
 - Eric과 스크린 골프를 함께 하며 깊은 교류를 할수 있어 감사합니다. 
 - 오늘도 최선을 다해서 하루를 보내도록 하겠습니다. 감사합니다. 고맙습니다.</t>
  </si>
  <si>
    <t xml:space="preserve">■ Footprints in Books : 1.상호성의 원칙 2.호감의 원칙 3.사회적 증거의 원칙 4.권위의 원칙 5.희소성의 원칙 6.일관성의 원칙 7.연대감의 원칙
- 우리는 현재 유례를 찾아보기 힘들 정도로 급변하는 복잡하고 혼란스러운 환경에서 살아가고 있다. 이런 환경에 적응하려면 지름길이 필요하다. 단 하루라도 일상에서 만나는 모든 사람과 사건, 상황의 모든 측면을 전부 인식하고 철저히 분석하며 사는 것은 불가능하다. 그럴 만한 시간도, 에너지도, 능력도 부족하다. 따라서 우리는 고정관념이나 경험법칙 등을 사용해 몇 가지 핵심적인 특징으로 대상을 분류하고, 이런 특징들이 나타날 때에는 특별한 사고 과정 없이 자동적으로 반응할 수밖에 없다.
- '고정관념'과 '경험법칙'을 사용하는 것은 현대사회에서 오히려 실수를 줄일 수 있는 좋은 방법이다. 하지만, 이러한 '고정관념'과 '경험법칙'을 누군가가 내 주위에서 나를 상대로 악용할 때에는 이점을 간파해 내고, 그 수법에 당하지 않도록 준비를 해야한다. 어제 적었던 '관계'에 대한 '전략적 접근' 또한, 타인의 관점에서 나에게 '전략적 접근'을 시도할때 이를 간파해 낼 수 있어야 한다.    </t>
  </si>
  <si>
    <t>■ My Strategy :  "인간의 행동은 인센티브에 의해 좌우된다. 사람을 설득하려면 이성이 아니라 이기심에 호소해야 한다 "
- AI반동체 '광학'섹터계의 'TSMC' 같은 역할을 하는 '패브리넷'에 일부 진입
- 기판위 전력을 관리하는 '삼성전기'에 일부 진입
- MindMap을 통해 각 섹터를 정리하며 숨은 진주를 찾아가자.</t>
  </si>
  <si>
    <t>워런 버핏과의 점심식사 (가이 스파이어)
- 나는 상황을 매일 확인할 필요가 없는 기업에 투자하고 있다. 단지 시간 문제일 뿐, 거의 모두 장기 실적이 '필연적으로' 좋아질 기업들이다
- 평가 기간을 20년 이상으로 길게 잡으면, 주가는 거의 예외 없이 상승한다. 그러나 평가 기간을 줄여서 더 자주 확인 할 수록  주가가 하락할 확률이 훨씬 높아진다</t>
  </si>
  <si>
    <t>취침 - 23:00
기상 - 05:30</t>
  </si>
  <si>
    <t>【The FIVE】#129-056</t>
  </si>
  <si>
    <t>착하게 살면 복을 받는다'는
'과학'이다. (상호성의 원칙)</t>
  </si>
  <si>
    <t>[Q.T묵상] 마태복음 17:14~27</t>
  </si>
  <si>
    <t xml:space="preserve"> - 귀신에 들러 뇌전증에 고통받는 아이를 제자들은 고쳐주지 못하였다. 그들이 예수님께 구할때, 예수님께서는 귀신을 쫒아내고 아이가 나았다. 제자들이 아이를 치유하지 못했던 이유는 믿음이 없었기 때문이다. 
 - 예수님은 겨자씨만한 믿음만 있어도 산을 옮길 수 있다고 하셨다. 인간의 계산으로는 말로 산을 옮긴다는 것은 말도 되지 않는다. 하지만, '믿음'이라는 것은 '불가능한 일을 가능케 하시는 하나님'을 믿는 것이다. 내 생각과 계산을 내려놓고, 하나님께서 일하심을 기다리고 의지하는 것이다. 
 - 내 생각에 지금 이곳에서 나의 삶은 앞이 보이지 않는다. 직장에서 겪는 어려움은 지금 나의 생각과 계산으로는 극복하기 어려운 문제이다. 하지만, 하나님은 내가 상상할수 있는 범위를 넘어서는 하나님이시다. 그분이 나를 이곳에 보내신 계획이 있음을 믿고, '믿음'에 의지하여 하나님의 일하심을 기다리고 의지하자. </t>
  </si>
  <si>
    <t xml:space="preserve"> - 오늘도 즐겁고 기대되는 하루가 될수 있어 감사합니다. 
 - 부족한 능력에 과중한 업무로 힘든 가운데에도 주님을 믿고 신뢰하게 하시니 감사합니다. 
 - 어려움 가운데에도 Q.T 묵상과 The FIVE를 지속할수 있음에 감사합니다. 
 - 하남매가 방학동안 '50/10' 규칙을 잘 지키며 좋은 생활 습관을 갖게되어 감사합니다. 
 - 미향이가 40일 새벽기도를 결단하고 이를 통해 영적으로 성정하게 하시니 감사합니다.
 - 금융 공부를 통해서 매일 매일 성장하고 성취가 있게 하시니 감사합니다. 
 - 독서를 통해 나의 삶과 타인의 삶을 깊이있게 숙고할 수 있어 감사합니다.
 - 오늘도 최선을 다해서 하루를 보내도록 하겠습니다. 감사합니다. 고맙습니다.</t>
  </si>
  <si>
    <t>■ Footprints in Books : 1.설득의 무기 2.상호성의 원칙 3.호감의 원칙 4.사회적 증거의 원칙 5.권위의 원칙 6.희소성의 원칙 7.일관성의 원칙 
                                      8.연대감의 원칙 9.순식간에 설득하라 
- 상호성의 원칙이란, 누군가에서 '부채의식'을 심어주면, 반드시 그 부채를 갚기위해 반대급부가 돌아온다는 의미이다. 이러한 부채의식은 '작은'것을 주더라도 돌아오는 것은 그보다 더 클 확률이 높다. 생각해보면, 어렸을때부터 우리는 '착한 사람이 복을 받는 이야기'를 읽어왔다. 제비의 다리를 고쳐준 흥부는 제비로부터 금은보화가 가득한 박씨를 받는다. 우리는 어렸을 때부터 이러한 상호성의 원칙을 배워왔다. 인간사회가 바로 이러한 '상호성의 원칙'하에서 유지되기 때문이다. 결국, '착한 사람이 복을 받는다'는 것은 그저 바램이나 미신이 아니라 심리 과학이다. 댓가를 바라지 않고 선행의 씨앗을 뿌리면, 상호성의 원칙에 따라 언젠가 그것들이 자라나 나에게 '금은보화'가 가득한 박씨로 돌아올 것이 때문이다. 그러니.... 우리 모두 '차카게 살자'.</t>
  </si>
  <si>
    <t>■ My Strategy (인간의 행동은 인센티브에 의해 좌우된다. 사람을 설득하려면 이성이 아니라 이기심에 호소해야 한다.)
- 변동성이 큰 환경에서는 '감정적 판단을 배제'하고 오로지 '생존'을 위한 '철저한 원칙 기반' 투자를 해야한다.
- 펀더멘털이 가장 중요하다. 확실한 '현재의 실적' 과 밝은 전망을 가진 기업 투자하자. 
- 공부하면 할수록 좋은 기업들이 보인다. 투자금이 부족한 것에 아쉬움이 남는다.
- 인간의 행동은 인센티브에 의해 좌우된다. 사람을 설득하려면 이성이 아니라 이기심에 호소해야 한다.</t>
  </si>
  <si>
    <t>주가를 자주 확인하지 않는다.
나는 상황을 매일 확인할 필요가 없는 기업에 투자하고 있다. 단지 시간 문제일 뿐, 거의 모두 장기 실적이 필연적으로 좋아질 것이다</t>
  </si>
  <si>
    <t>【The FIVE】#130-057</t>
  </si>
  <si>
    <t>모든 것은 '시작'과 함께 시작된다
'경험'을 쌓는 유일한 방법은
행동에 나서서 결과는 내는 것이다
그 결과가 성공이든 실패이든
관계 없이!!
'책'으로 자전거를 배울수 없다
책으로 배운 것을 '행동'으로 
실천하고 '결과'를 통해 
내것으로 만들어야 한다.</t>
  </si>
  <si>
    <t>[Q.T묵상] 마태복음 18:1~9</t>
  </si>
  <si>
    <t xml:space="preserve"> - '하늘나라에서는 누가 가장 큰 사람입니까?' 제자들은 천국에서 조차 '큰 사람'이 궁금하다. 인간은 어디서나 남들과 비교하고 그 사이에서 높아지길 원한다. 그 본성이 천국에서도 조차도 높아지길 원하는 마음으로 이어진다.
 - 예수님은 '어린 아이와 같이 자신을 낮추는 사람이 하늘나라에서 가장 큰 사람' 이라고 답하신다. 사람은 '큰 사람'을 원하지만, 예수님은 '낮추는 사람', '낮아지는 사람'을 원하신다. 천국의 열쇄는 바로 이 낮아짐에 있다.
 - 내 삶의 힘듬의 대부분 요인 또한 깊이 파고들면 이 '비교'에 있다. 형편이 어려운 것 보다, 형편이 '다른 사람들에 비해' 어렵다고 생각는 등, 대부분의 우울한 생각들은 모두 '비교'에서 나온다. 
 - 주님, 저또한 육체에 거하며 '낮아짐' 보다는 '높아짐'에 더욱 관심을 두고 살아가고 있습니다. 죄된 인간의 노력으로는 '낮아지는 척', '은혜로운 척' 흉내만 낼수 있을 뿐입니다. 성령님, 내 안에 충만히 거하시고, 저의 삶을 주관하셔서, 주님 말씀대로 '낮아지는 삶', '섬기는 자'로서의 삶을 살아가게 하옵소서. 아멘.</t>
  </si>
  <si>
    <t xml:space="preserve"> - 오늘도 즐겁고 기대되는 하루가 될수 있어 감사합니다. 
 - 어제는 하민이 생일입니다. 보석보다 귀한 아들을 저희 가정에 보내주심에 감사합니다. 
 - 자녀들이 방학을 말씀읽기와 학업공부로 성실히 보내게 하시니 감사합니다.  
 - '더불어 00' 점심 회동을 통해 함께 교제하고 삶을 나누게 하시니 감사합니다. 
 - 골프를 통해 삶의 즐거움과 '뭉클' 멤버들과의 깊은 교제 감사합니다. 
 - Q.T묵상과 The FIVE가 '하루의 시작'이자 '삶의 중심'이 되게 하시니 감사합니다. 
 - 투자 공부를 통해 얻은 지식을 이웃과 나누며 도움을 줄수 있어 감사합니다. 
 - 오늘도 최선을 다해서 하루를 보내도록 하겠습니다. 감사합니다. 고맙습니다.</t>
  </si>
  <si>
    <t>초수익 성장주 투자(마크 미너비니)</t>
  </si>
  <si>
    <t xml:space="preserve">■ Footprints in Books 
- 멘토의 강력한 권유로 '초수익 성장주 투자'를 읽기 시작했다. (아직 다 읽지 못한 '설득의 심리학'은 다음으로 미뤄두었다)
- 성공하고 싶다면 즉시 행동하라. 되찾을 수 없는 귀중한 시간을 낭비하지 않겠다는 결심 말고는 다른 이유나 누군가의 허락은 필요 없다. 모든 것은 시작과 함께 시작된다! 당신은 꿈꾸고, 긍정적으로 생각하고, 계획하고, 목표를 세울 수 있다. 행동하지 않는 한 아무것도 실현되지 않는다. 
- 마이클 조던이 역사상 최고의 농구 선수가 된 것은 광고 모델이 되고 싶어서가 아니라 농구에 열정이 있었기 때문이다. 뛰어난 트레이더도 마찬가지다. 그들은 돈보다는 최고가 되려는 열정에 더욱 이끌린다.
- 책으로 자전거 타는 법을 배울 수 없듯, 경험을 쌓는 유일한 방법은 행동에 나서서 결과를 내는 것이다. </t>
  </si>
  <si>
    <t>■ My Strategy (인간의 행동은 인센티브에 의해 좌우된다. 사람을 설득하려면 이성이 아니라 이기심에 호소해야 한다.)
- 팔란티어(-20%)와 스페이스 모바일(-25%) 전량 매도하며 잡초 제거 
- (-10%) 룰을 어기면서까지 아끼던 주식이지만, '원칙준수'라는 멘토의 권유로 순종함.
- '시장을 예상' 하거나 '기대' 하지 말고 '원칙'에 따라 '관리'하고 '시장환경에 대응'하는 투자 습관을 기르는 
   것이 수익률 조금 더 올리는 것보다 더 중요하다.</t>
  </si>
  <si>
    <t xml:space="preserve">나이가 들어 실제로 나를 사랑하는 사람이 몇 명이나 
되는가로 내 인생의 성공을 평가하게 될 것이다
더 나은 사람들과 많은 시간을 보내면, 우리는 개선될
수밖에 없다
서로 공적을 따지지 않으면, 우리 능력은 무한해진다 </t>
  </si>
  <si>
    <t>【The FIVE】#131-058</t>
  </si>
  <si>
    <t>목표가 확실한가? YES
무엇을 포기할지 정했는가? YES
시간과 노력을 들여 
연습하고 시도하는가? YES
올바른 방법으로 연습하는가? YES
실패도 감사하게 여기는가? YES
그렇다면 Keep Going!</t>
  </si>
  <si>
    <t xml:space="preserve"> - '두세사람이 내 이름으로 모인 곳에는 나도 그들 중에 있느니라'
 - 믿음의 동력자들과 모이기를 힘써야하는 이유이다. 세상 사람들은 모이면 한쪽은 자신이 가진 것이 얼마나 많은지 자랑을 하고, 한쪽은 자신이 상대방에 비해 얼마나 가진 것이 없는지 느끼며 비관한다. 함께 하는 시간에 어떠한 감격이나 기쁨, 감사도 없다. 공허한 메아리들이 오가고, 헤어지고 뒤돌아서면 그저 우울감과 불쾌감 뿐이다. 
 - 예수님의 이름으로 모인 곳은 그와는 사뭇 다르다. 어떻게하면 낮아질 수 있는지, 어떻게 하면 섬길 수 있는지, 어떻게 하면 인간의 본성(육신의 정욕, 안목의 정욕, 이생의 자랑)을 통제하고 말씀으로 살아갈 수 있는지를 고민한다. 모인 사람들이 선하거나 잘나서가 아니다. 예수님의 이름으로 모인곳에는 예수님께서 함께하시고, 모인 자들에게 성령이 충만해지기 때문이다. 
 - 주님, 허망하고 허무한 모임을 삼가고, 동역자들과의 모이기에 힘쓰기 원합니다. 아멘.</t>
  </si>
  <si>
    <t xml:space="preserve"> - 오늘도 즐겁고 기대되는 하루가 될수 있어 감사합니다. 
 - 업무의 과중함 속에서도 Q.T 묵상과 독서, The Five를 꾸준히 실천할수 있음에 감사합니다.
 - 하민이가 목표를 성취하기 위해 댓가를 치르는 법을 배워가게 하심에 감사합니다.
 - 하민이와 항상 친구같은 관계를 유지할 수 있어 감사합니다.
 - EDrawMind 를 활용하여 업무와 투자와 삶을 정리할 수 있어 감사합니다. 
 - 블로그 운영을 통해 The FIVE의 즐거움을 배가할 수 있어 감사합니다.
 - 오늘도 최선을 다해서 하루를 보내도록 하겠습니다. 감사합니다. 고맙습니다.</t>
  </si>
  <si>
    <t>■ Footprints in Books
- 목표가 무엇인지 자문하라. 인생 계획을 세우지 않았어도 서너 가지 바람이 곧바로 떠오를 것이다. 이제 그 목표를 이루기 위해 무엇을 포기할 것인지 자문하라. 그러면 이야기가 달라진다. 무엇을 희생할지를 선택하기는 어렵기 때문이다. 그러나 이는 성공을 추구하는 과정에서 내려야 하는 가장 중요한 결정 중 하나다. 희생은 우선순위를 정한다는 뜻이다.
- 5번 아이언을 휘두른다고 해서 타이거 우즈가 되는 것은 아닌 것과 마찬가지다. 증권 계좌를 열고 컴퓨터 앞에 앉는다고 해서 피터 린치나 워런 버핏이 되는 것은 아니다. 그렇게 되려면 노력해야 하며, 시간과 연습이 필요하다. 중요한 것은 올바로 연습하는 법을 익히는 것이다. 시도와 실패를 당신의 것으로 만들어라. 그러면 성공도 당신의 것이 된다. 자기 자신 말고는 누구도 당신을 부자로 만들어주지 않는다</t>
  </si>
  <si>
    <t>■ My Strategy (인간의 행동은 인센티브에 의해 좌우된다. 사람을 설득하려면 이성이 아니라 이기심에 호소해야 한다.)
- 조정기에는 엉덩이를 무겁게, 그리고 주가창은 닫고, 책을 읽자.
- 주식은 파도와 같다는 생각이 든다. 끊임없는 오름과 내림, 무질서 가운데 질서가 있다
- 포트폴리오의 중요성을 새삼 느낀다. Unshakable '흔들림 없는' 포트폴리오에 대한 갈망이 있다.
- 지금 읽는 초수익 성장주 투자. 힘이 넘치고 강력하다. 동기부여가 된다.</t>
  </si>
  <si>
    <t xml:space="preserve"> 공연히 더듬으며 여기저기 돌아다니지 말고 시간을 들여서라도 새롭고 유익한 어떤 것을 배워라
자기 이웃들의 마음속에서 일어나는 일들을 들여다보려고 애쓰는 사람보다 더 불행한 사람은 없다 </t>
  </si>
  <si>
    <t>취침 - 01:00
기상 - 05:20</t>
  </si>
  <si>
    <t>【The FIVE】#132-059</t>
  </si>
  <si>
    <t>투자의 전망은 고집하는 것이 아니라 기업 실적과 시장 평가라는 독립 변수의 변화에 따라 주저 없이 
수정되어야 한다.
남의 이야기를 듣고 투자할수 없는
이유가 여기에 있다.
상황변화에 따라 주저없이 
수정할 수 있는
자신만의 능력을 키워야한다.</t>
  </si>
  <si>
    <t>[Q.T묵상] 마태복음 18:21~35</t>
  </si>
  <si>
    <t xml:space="preserve"> - '용서에는 횟수의 제한이 없다'. '용서에는 금액의 제한이 없다'
 - 용서는 상대방이 진심으로 뉘우치고 용서를 구한다면 언제든 받아주어야한다. 그럴수 있는 이유는, 예수님께서 이미 그보다 더 큰 빚을 진 나를 용서해주셨고, 앞으로도 수도없이, 그 빚의 크기와 관계없이 내가 진심으로 뉘우치고 회개하면 용서해주실 것이기 때문이다. 이러한 특권을 누리면서도, 나에게 진심으로 용서를 구하는 사람을 용서하지 못한다면, 이는 예수님 앞에 '진심'으로 뉘우친 회개가 아닐 것이다. 
 - 주님. 저로 용서의 용사가 되게 하옵소서. 용서에는 큰 용기와 결단과 은혜기 필요합니다. 악한 영들과 싸워 이기고, 죄악된 내 자신의 욕심과 싸워 이기고, '용서'라는 용감한 일을 행할 수 있는 '용서의 용사'가 되게하옵소서. 아멘.</t>
  </si>
  <si>
    <t xml:space="preserve"> - 오늘도 즐겁고 기대되는 하루가 될수 있어 감사합니다. 
 - 세상은 나를 우습게 여기기도 하고, 비아냥거리기도 하고, 바로라고 생각하기도 하지만, 하나님 안에서 자존감이 무너지지 않고, 그런 세상도 진심으로 대할수 있게 해주셔서 감사합니다.
 - 하남매가 아빠와의 스킨십을 좋아하고 친구처럼 대해주어 감사합니다.
 - 하남매가 작은 것도 소중하게 생각하고 감사할 줄 아는 아이들로 자라줘서 감사합니다.
 - '40+10 (포티텐: 40분 공부 10분 휴식)' 이라는 공부습관이 자리잡게 되어 감사합니다.
 - 미향이가 믿음의 사람으로, 돕는 배필로 제 곁에 있어주어 감사합니다. 
 - 하나님 앞으로 나아갈 수록 미향이가 남편을 존경하고 사랑해주어 감사합니다.
 - 오늘도 최선을 다해서 하루를 보내도록 하겠습니다. 감사합니다. 고맙습니다.</t>
  </si>
  <si>
    <t>■ Footprints in Books
- 주식투자와 사업 운영은 사실상 똑같다. 실제로 주식투자에 성공하려면 사업을 운영하듯 해야 한다. 투자자로서 당신의 상품은 주식이다. 당신의 목적은 수요가 많은 종목을 사서 더 높은 가격에 파는 것이다. 얼마나 많은 마진을 남길지는 운영하는 사업(포트폴리오)의 유형에 좌우된다. 당신은 박리다매 전략을 지닌 월마트처럼 투자할 수도 있고, 트렌디한 상품을 소량으로 제공하면서 높은 마진을 남기는 부티크처럼 투자할 수도 있다. 또한 적은 수익을 내지만 많은 거래를 해서 연말에 인상적인 수익률을 올릴 수도 있고, 탄탄한 수익을 안기는 엄선된 종목을 보유한 장기 투자자가 될 수도 있다.</t>
  </si>
  <si>
    <t xml:space="preserve">■ My Strategy (인간의 행동은 인센티브에 의해 좌우된다. 사람을 설득하려면 이성이 아니라 이기심에 호소해야 한다.)
- 최근 며칠 기가막히게 상승했던 수익을 모두 원점으로 되돌려 놓았다. 하지만, 불안하지 않고 편안하다.
- 파도와 같이 끊임없는 오름과 내림의 연속이 바로 주식이라는 것을 알게되었다. 
- 방향이 맞다면, 파도를 두려워하지 말고 그 파도를 타며 신나게 서핑을 즐기자.
- 분명한 것은, 주식시장에서는 모든 사람이 동일하다. 누구도 내일 일을 알지 못한다. </t>
    <phoneticPr fontId="2" type="noConversion"/>
  </si>
  <si>
    <t>- 우리의 감정을 상하게 하는 것은 다른 사람들의 행동이 아니라 그들의 행동에 대한 우리의 판단이다. 우리가 분노하고 속상해 하는 다른 사람들의 행동 그 자체보다는 그 행동에 대한 우리의 분노와 근심이 우리에게 더 많은 피해를 초래한다
- 너의 감정을 상하는 것처럼 보이는 행동에 대한 너의 판단을 내리지 않기로 결심하라, 그러면 너의 분노도 사라질 것이다</t>
  </si>
  <si>
    <t>취침 - 01:00
기상 - 05:00</t>
  </si>
  <si>
    <t>【The FIVE】#133-060</t>
  </si>
  <si>
    <t>또다시 다가온 '선택'의 기로
'인생은 BCD'
라는 말은 틀림이 없다.
(B와 D 사이에 C만이 있다)
Birth(태어나서)
Death(죽을 때까지)
인생은 곧, 
Choice(선택)의 연속이다</t>
  </si>
  <si>
    <t>[Q.T묵상] 마태복음 19:1~12</t>
  </si>
  <si>
    <t xml:space="preserve"> - 고대사회에서의 '여자'는 보호받지 못하는 약자였다. 사람의 수를 셀 때에도 포함되지 못했고, 재산의 일부로 여겨졌다. 그렇지만, 하나님께서는 '창조의 때'부터 여자의 인권을 높이셨다. '여자'를 '돕는 배필'로 남자에게 만들어주셨는데, 돕는 다는 것은 누군가와 동등하거나 더 더 뛰어나야만 할 수 있는 역할이다. 게다가 '가정'이라는 제도를 하나님께서 만드시고, 그 가정은 결코 분리될수 없는 한 몸임을 선포하셨다. 
 - 하지만, 인간의 죄성으로 인해, 아내 마음대로 버리고, 더 좋은 여자를 취함으로서, 여성들의 삶 자체가가 망가지는 일들이 비일비재하자, 모세는 이혼에 대한 제도를 통해 '마음대로 할 수 있던' 일을 '절차화'함으로서 여성들의 인권을 보호했다. 그것도 그 고대사회에서 말이다. 그리고, 오늘 예수님은 말씀하신다. 간음외에 어떠한 이유로도 이혼할 수 없음을. 주님. 저희에게 '가정'이라는 아름답고 소중한 제도를 만들어주시고 서로 사랑하게 하심에 감사합니다. 약자를 사랑하고 보호하시는 하나님의 마음을 제게도 주시고, 그것을 위해 헌신하게 하옵소서. 아멘. </t>
  </si>
  <si>
    <t xml:space="preserve"> - 오늘도 즐겁고 기대되는 하루가 될수 있어 감사합니다. 
 - 2026년 1월과 2월, The FIVE를 하루도 거리지 않고 실천하게 하심에 감사합니다.
 - 오늘, 저와 미향이의 결혼 기념일에 알맞은 소중한 Q.T말씀을 주시니 감사합니다.  
 - 미향이를 만나 사랑하고 결혼하고, 하남매를 선물로 주시니 감사합니다.
 - 미래의 삶은 언제나 걱정 뿐이지만, 뒤돌아보면 모든 순간이 기적이고 선물입니다. 
   저에게 주신 가정이 얼마나 아름다고 소중하고 귀한지요. 억만금을 주어도 바꿀수 없는 
   소중한 가정을 저에게 주심에 감사합니다. 
 - 삶의 행복과 의미, 즐거움을 가정에서 발견하고 누리게 하시니 감사합니다. 
 - 오늘도 최선을 다해서 하루를 보내도록 하겠습니다. 감사합니다. 고맙습니다.</t>
  </si>
  <si>
    <t>■ Footprints in Books
- 당신도 나름의 시행착오를 거칠 것이고, 가치투자, 성장투자, 펀더멘털 분석, 기술적 분석 또는 복합적 분석 등 주식시장에 대한 다양한 개념과 접근법을 훑어보고 시험할 것이다. 결국 성공하려면 당신에게 합리적으로 보이는 한 가지 접근법에 정착해야 한다. 주식 거래 전략을 활용하는 일은 결혼과 같아서 신의를 지키지 않으면 좋은 결과를 얻지 못한다. 좋은 결과를 얻으려면 시간과 노력이 필요하다. 시장에 대한 자신만의 접근법을 가지고 전문가가 되고자 해야 한다.
- 전략도 중요하지만, 그보다는 규칙을 적용하고 준수하기 위한 지식과 규율이 더욱 중요하다. 자신이 활용하는 전략의 강점과 약점을 제대로 아는 투자자는 우월한 전략을 조금만 아는 투자자보다 훨씬 잘할 수 있다.</t>
  </si>
  <si>
    <t>■ My Strategy (인간의 행동은 인센티브에 의해 좌우된다. 사람을 설득하려면 이성이 아니라 이기심에 호소해야 한다.)
- 2/21일 [The FIVE] '미국-이란 전쟁 리스크, 트럼프의 '타코'를 예상해본다' 나의 전망은 틀렸음. '미래'는 예측하는 것이 아니라 '대응'하는 것이라는 격언을 다시한번 마음에 새긴다. 결국 트럼프의 3-8월 계획속에 주식시장은 눌러야할 대상이므로, 전쟁도 불사함을 간과함. 하지만, 이 전쟁이 빠르게 종결 될 경우, 불확실성 해소로 인한 V자 반등 또한 가능한 시나리오 이므로 이후 전개되는 전쟁의 양상을 주의깊게 모니터링 필요.
- 전쟁의 '장기화' 여부, '호르무츠 해협' 봉쇄 가능성, 유가 폭등 가능성. 이 세가지를 주의깊게 모니터링 필요.
- 투자금의 30% 수준을 현금화하고 양상을 지켜볼 지여부도 검토.</t>
  </si>
  <si>
    <t xml:space="preserve">[초수익 성장주 투자_마크 미너비니]
- 영구적인 지식을 획득하라
- 성과가 나오지 않았지만 꾸준히 공부했다
- 끈기는 지식보다 중요하다
- 주식 시장의 기회는 어느 순간에 다가올 수 있다. 이런 기회를 이용하려면 미리 대비하고 행동할 준비를 해야 한다 </t>
  </si>
  <si>
    <t>취침 - 23:00
기상 - 06:00</t>
  </si>
  <si>
    <t>【The FIVE】#134-061</t>
  </si>
  <si>
    <t>경거망도 금지, 부화뇌동 금지
스스로 가설을 세우고
시도해보고
가설이 맞았다면 왜 맞았는지
가설이 틀렸다면 왜 틀렸는지
그것을 공부해야한다.
지금은 결과를 만들어내는 것보다
공부를 통한 위기대응 능력을
키우는 것이 더 중요하다.</t>
  </si>
  <si>
    <t>[Q.T묵상] 마태복음 19:13~22</t>
  </si>
  <si>
    <t xml:space="preserve"> - 하나님보다 더 사랑하거나, 집착하거나, 의지하는 것이 있다면 그것들은 모두 우상이다. 본문에서 청년은 율법을 잘 지켜왔다고 했지만, 예수님은 자기가 가진 재산에 집착하는 청년의 마음을 보셨고, 재산을 모두 팔아 나눠주고 예수님을 따르라 했을때, 근심하며 돌아갔다. 이후 청년의 이름이 성경에 기록되지 않은 것을 보면, 그 청년은 예수님의 말씀을 실천하지 못한 듯하다. 
 - 돈이 나쁜 것은 아니다. 돈은 중립적인 것이다. 하지만, 그 돈을 대하는 인산의 태도에 따라, '그에게'는 죄의 근원이 되고, 우상이 된다. 또 어떤이에게는 선한 하나님의 도구가 되어 '돈'으로 구제하고 선교도 한다. 하나님께서 주신 것들은 모두 부정함이 없이 깨끗하다. 다만, 우리가 하나님의 축복을 받을만한 그릇이 되느냐에 따라 큰 차이가 생긴다. 영적인 성숙을 통해 그릇을 키운 사람은 하나님께서 그 그릇에 가득 채울 것이고, 그렇지 못한 사람은 하나님께서 그 축복을 허락지 않을 것이다. 사실, 이미 축복을 주셨지만, 그 축복을 받을만한 그릇이 되지 못하는 것이다. 주님, 저로 하나님의 축복을 받을만한 그릇으로 성장해 나가길 원합니다. 아멘.</t>
  </si>
  <si>
    <t xml:space="preserve"> - 오늘도 즐겁고 기대되는 하루가 될수 있어 감사합니다. 
 - 알람을 맞추지 못하고 잠들었는데, 자연스럽게 새벽에 눌을 뜰수 있었습니다. 
    The FIVE를 통해 좋은 습관을 갖게되어 감사합니다. 
 - 어제 결혼기념일을 타이거님과 사냥꾼님이 준비해주신 꽃다발 덕분에 특별하게 보낼 수
   있었습니다. 미향이가 꽃을 특별히 좋아했습니다. 감사합니다. 
 - 지난 2월 한달을 지켜주심에 감사합니다. 이번 한달도 더욱 성장하는 한달 되기 원합니다.
 - 2월 한달간 소홀했던 운동을 3월에 다시 시작하려합니다. 실천할수 있는 의지 주세요. 
 - 한번씩 폭발하는 탄수화물에 대한 식탐을 누르고, 혈당관리를 잘 할수 있게 해주세요.
 - 오늘도 최선을 다해서 하루를 보내도록 하겠습니다. 감사합니다. 고맙습니다.</t>
  </si>
  <si>
    <t>■ Footprints in Books
- 저렴한 주식을 사는 것은 포커의 함정패와 같아서 벗어나기가 어렵다. 싸다는 이유로 주식을 사면 주가가 하락해도 팔기가 힘들다. 애초에 싸서 산 것인데 더 싸졌기 때문이다. 즉, 싸질수록 ‘싸다’는 논리에 따른 매력이 커진다. 이는 투자자들을 커다란 궁지에 빠트리는 사고방식이다. 대다수 투자자는 주도 종목이 아니라 헐값 종목을 찾는다. 그래서 싸구려 주식을 사곤 한다.
- 커다란 잠재력을 가지고 빠르게 성장하는 흥미로운 기업의 주식이 재고 떨이 판매대에 놓일 리가 없다. 최고의 상품은 양판점에서 팔리지 않는다. 정말로 좋은 기업의 주식은 언제나 비싸 보일 것이다. 그러나 대다수 투자자는 바로 그 이유 때문에 그 주식을 놓치고 만다.</t>
  </si>
  <si>
    <t>■ My Strategy (인간의 행동은 인센티브에 의해 좌우된다. 사람을 설득하려면 이성이 아니라 이기심에 호소해야 한다.)
- 전쟁 → 유가 상승 → 물가 상승 → 금리 인상 → 주가 하락. 결국 도미노의 끝은 '금리'다. 
  금리에 영향을 미칠 여러가지 요소들의 변화를 주시하자. (호르무즈 해협 봉쇄, 브렌트유가, 금리인상 신호)
- 이번 기회에 안전자산인 금을 포트폴리오에 추가할지 여부 검토. 
- 미국의 빠른 기선 제압으로 오히려 빠르게 정리되고 종결될 가능성도 있지 않을까?</t>
  </si>
  <si>
    <t xml:space="preserve">귀가 아니라 눈을 믿어라.
주식 투자에 성공하려면 
추세와 시장의 지혜를 존중해야 한다. </t>
  </si>
  <si>
    <t>취침 - 23:00
기상 - 05:00</t>
  </si>
  <si>
    <t>【The FIVE】#135-062</t>
  </si>
  <si>
    <t>모험을 추구하면
그 댓가를 지불해야 한다
안정을 추구해도
그 댓가를 지불해야 한다
'모험'이든 '안정'이든
모두 댓가를 지불해야한다면
'너'는 어느 것을 선택할 것인가?
빨간 약? 파란 약?</t>
  </si>
  <si>
    <t>[Q.T묵상] 마태복음 19:23~30</t>
  </si>
  <si>
    <t xml:space="preserve"> - 대부분의 부자는 구원 받기 어렵다. '마음이 가난한자는 복이 있나니 천국이 저희 것임이요' 이 말씀과 같이, 부자는 마음이 가난하기 어렵다. (물론 모든 부자가 그런 것은 아니다. 아리마데 요셉이나 삭개오는 부자임에도 마음이 가난하여 예수님을 만나고자 했고, 결국 성경에 이름을 남겼다) 부자이면서 예수님 없는 인생과, 가난하면서 예수님과 동행하는 인생, 둘중 하나를 택하라면, 너는 무엇을 택하겠는가..
 - 제자의 삶은 결코 화려하거나, 안정적이지 않다. 믿음으로 살면 복을 받을 것이라는 생각, 기복주의적인 가치관은 그 원하는 '복'이 결코 하나님께서 주실 '복'이 아님을 안다. 우리가 바라는 '복'은 '육체의 정욕, 안목의 정욕, 이생의 자랑' 범주안에 있는 것들이다. 하나님께서 준비하신 복은 전혀 다른 차원의 복이다. 제자의 삶과 부유한 삶, 안정적인 삶, 배부른 삶은 어울리지 않는다. 제자의 삶은 세상의 것은 비워내고, 하나님의 것으로 채우는 삶이다.</t>
  </si>
  <si>
    <t xml:space="preserve"> - 오늘도 즐겁고 기대되는 하루가 될수 있어 감사합니다. 
 - 낮은 자의 하나님. 마음을 언제나 가난하게 하사 하나님을 구하고 찾게 하시니 감사합니다.
 - 세상의 것을 비워내고, 하나님의 것으로 채우는 삶을 살기 원합니다.
 - 늪 한가운데 빠진 것과 같은 삶을 살고 있습니다. 허욱적대지 않고 하나님 붙들겠습니다.
 - 운동을 다시 시작하였습니다. 건강한 삶을 주심에 감사합니다.
 - 미국과 이란의 전쟁이 빨리 종식되고 고통받는 자들에게 평안을 주옵소서. 
 - 전쟁으로 인해 흔들리는 장세 속에서도 현명한 판단을 할수 있는 지혤르 주세요.
 - 오늘도 최선을 다해서 하루를 보내도록 하겠습니다. 감사합니다. 고맙습니다.</t>
  </si>
  <si>
    <t>■ Footprints in Books
- 주가가 영업이익의 65배라는 이유로 고평가되었다고 결론짓는 것은 물감과 캔버스의 가격이 40달러에 불과하다는 이유로 4,900만 달러에 팔린 고흐의 그림이 고평가되었다고 말하는 것과 같다. 고흐 작품의 가격은 내재적 가치와 무관하다. 그림은 사람들이 인지하는 가치를 토대로 판매된다. 그리고 그 가치는 유일무이한 작품에 대한 수요에 직접적인 영향을 받는다.
- 주가를 움직이는 것은 가치가 아니다. 사람들이 매수 주문을 넣어야 주가가 움직인다. 가치는 공식의 일부일 뿐이며, 궁극적으로는 수요가 있어야 한다. 가치평가 척도에 대한 분석이 아니라 가치에 대한 인식만이 투자자로 하여금 매수하게 만든다. 매수 의사를 지닌 매수자가 없으면 최고 기업의 주식도 쓸모없는 종잇조각에 불과하다. 이 사실을 빨리 깨달을수록 투자에 도움이 된다.</t>
  </si>
  <si>
    <t>■ My Strategy (인간의 행동은 인센티브에 의해 좌우된다. 사람을 설득하려면 이성이 아니라 이기심에 호소해야 한다.)
- 미국은 셰일가스로 인해서 중동석유 수급의 영향이 크지 않을 수도 있겠다. (그저 바램..ㅎㅎ)
- 미국 장이 생각보다 전쟁 영향이 크지 않았다. 세계 정세를 예측하고 그것에 배팅하며서 실력을 키울수 있겠다.
- 단기, 중기, 장기 예측을 위해 여러가지 기준을 가지고 분석해보자.</t>
  </si>
  <si>
    <t xml:space="preserve">부진 종목을 멀리하라, 하샹식이 아니라 상향식 접근법을 더 많이 쓴다. 성장주 투자에서 가장 좋은 유형은 단계적으로 규모를 키우는 것이다. 
빠르게 성정하는 산업에서 시장점유율을 늘려야 한다. 주도주에 속하는 기업들은 영업이익을 빠르게 늘린다. 따라서, 비싼 것이 사실은 싸다.   </t>
  </si>
  <si>
    <t>취침 - 24:00
기상 - 05:30</t>
  </si>
  <si>
    <t>【The FIVE】#136-063</t>
  </si>
  <si>
    <t>누구도 미래를 예측할 수는 없다
지금은 거인들의
조언들을 떠올리며
그동안의 배움을 통해
나만의 방법을 정하고
실천해야할 때.</t>
  </si>
  <si>
    <t>[Q.T묵상] 마태복음 20:1~16</t>
  </si>
  <si>
    <t xml:space="preserve"> - '먼저 온 일꾼'에게 없는 것은 '쓰임받는 기쁨'과 '감사' 이다. 그들의 마움은 보상에 대한 집착으로 가득하다. 하나님 나라를 위해 헌신할 때, 대가에 집착한다면, 기대에 어긋난 결과 얻고 원망을 하게 될 수 있다. 결국, 하나님 나라를 위해 부름받았다는 인식과 사명이 없으면, 보상만이 헌신의 동기가 됩니다. 
 - 주님, 섬기는 자로서 사명을 주심에 감사합니다. 하지만, 여전히 부족한 저의 모습에 자주 실망하고 낙담합니다. 하지만, 주님께서는 주님의 나라를 위해 헌신할 일꾼을 지금도 찾으십니다. 저에게 쓰임받는 기쁨을 알게하시고, 부족한 가운데에서도 성령님의 도우심으로 저를 사용하여 주옵소서. 아멘.</t>
  </si>
  <si>
    <t xml:space="preserve"> - 오늘도 즐겁고 기대되는 하루가 될수 있어 감사합니다. 
 - 업무에서도 투자에서도 어려운 터널을 지나고 있습니다. 잘 이겨낼수 있기를 원합니다.
 - 하남매가 잠자리 기도로 많은 위로를 받게 하심에 감사합니다. 
 - 어려운 상황에서 하나님 의지하게 하시니 감사합니다.
 - 자격없는 저를 일꾼으로 불러주시고, 사명을 주시니 감사합니다. 섬기는 자로의 삶을 
   날마다 묵상하겠습니다. 
 - 오늘 하루 주님 인도하심과 보호하심으로 제 삶을 이끌어주세요.
 - 피할길을 주사 능힘 감당케 하옵소서.
 - 오늘도 최선을 다해서 하루를 보내도록 하겠습니다. 감사합니다. 고맙습니다.</t>
  </si>
  <si>
    <t>■ Footprints in Books : 
- PER은 신경 쓰지 마라. PER은 스스로 알아서 행동한다. 과다한 해석과 복잡한 이론은 교수와 학자에게, 가치평가 전술은 월스트리트의 애널리스트에게 맡겨라. 해양학자는 파도, 조수, 해류, 저류의 온갖 복잡성을 설명할 수 있다. 그러나 파도타기에 관해서는 캘리포니아 말리부에 사는 13살짜리 아이에게 돈을 거는 편이 낫다. 그 아이는 바다와 관련된 사실에 대해서는 아무것도 모르지만 줄곧 파도타기를 했고 물에 대한 직관적인 감을 갖고 있다. 초고수익 트레이더가 되려면 추세를 포착하고 그에 올라타서 큰 수익을 내는 법을 익혀야 한다. 또한 과거에 유리했던 추세가 무너지는 때를 감지하는 법을 익혀야 한다. 가격 변동의 이유가 알려지면 대개 수익이나 손실은 이미 과거의 문제가 될 것이다. 내재적 가치에 따라 기업의 가치를 평가하는 것은 주식 거래가 아니라 자산 매입에 필요한 일이다. 당신의 목표는 거래용으로 만들어진 종잇조각에 불과한 자산을 쌓아두는 것이 아니라, 꾸준히 돈을 버는 것이다.</t>
  </si>
  <si>
    <t xml:space="preserve">■ My Strategy (인간의 행동은 인센티브에 의해 좌우된다. 사람을 설득하려면 이성이 아니라 이기심에 호소해야 한다.)
- 
-
-
- </t>
  </si>
  <si>
    <t>- 바닥 매수는 필요 없음
- 초고수익을 달성하려면 누적 효과를 극대화해야 하므로, 매수한 다음 빠르게 상승하는 종목에 집중하는 것이 중요
- 나의 목표는 가장 낮거나 저렴한 가격이 아니라 크게 오를 준비가 된 올바른 가격에 매수하는 것이다</t>
  </si>
  <si>
    <t>취침 - 12:00
기상 - 06:00</t>
  </si>
  <si>
    <t>【The FIVE】#137-064</t>
  </si>
  <si>
    <t>주식시장은 바다이고
주가는 파도다
끊임없는 오름과 내림의
연속이다
오름세에 과도한 흥분 불가
내림세에 과도한 불안 불가</t>
  </si>
  <si>
    <t>[Q.T묵상] 마태복음 20:17~28</t>
  </si>
  <si>
    <t xml:space="preserve"> - 예수님께서 제자들에게 예수님이 당하셔야 할 고난과 고통, '십자가의 죽으심과 다시 사심'에 대해서 이야기 하시지만, 제자들은 세상적인 자리싸움만 관심이 있다. 3년간 예수님과 함께하며 주야로 함께 먹고 마시고 이야기를 나누며 특급 훈련을 받은 제자들 조차도 여전히 하나님 나라를 이해하지 못하고, 영의 눈이 감겨있다.
 -  '섬기는 종' 으로서의 삶은 나 개인의 희생에 초점이 있는 것이 아니라, '주님을 따르는 삶' 자체를 의미한다. 나 개인의 결단과 결심으로 섬기는 행위는 나의 의를 드러낼 뿐이다. 나의 결단과 결심으로 하는 행위는 그저 인간의 한계인 '육신의 정욕, 안목의 정욕, 이생의 자랑'일 뿐이다. 오직 성령이 임하시면, 내 속사람이 변화되고, 그분의 뜻에 순종하며 십자가의 삶을 살수 있다. 주님, 제게 성령을 부어주시고, 저로 주님 따르는 제자의 삶, 섬기는 자로서의 삶을 살아나갈 수 있게 해주세요. 아멘. </t>
  </si>
  <si>
    <t xml:space="preserve"> - 오늘도 즐겁고 기대되는 하루가 될수 있어 감사합니다. 
 - 하루 하루가 늪지대를 걷는 것과 같지만, 그 하루들이 멈춰있지 않고 지나감에 감사합니다., 
 - 다시 운동의 즐거움을 회복하게 됨에 감사합니다. 꾸준히 하겠습니다.
 - 주식시장이 다시 회복추세로 돌아서게 되어 감사합니다. 
 - 미-이란 간 전쟁이 빨리 종식되고 평화가 찾아오길 기도합니다. 
 - 
 - 
 - 오늘도 최선을 다해서 하루를 보내도록 하겠습니다. 감사합니다. 고맙습니다.</t>
  </si>
  <si>
    <t>■ Footprints in Books
- 주가가 급락했으니 이제 매수 기회가 찾아왔다고 생각하지 마라. 대다수의 투자자는 이 함정에 빠진다. 그들이 보유한 종목이 급락하더라도, 그들은 시장이 틀렸고 기업은 여전히 실적이 좋으니 추가로 매수할 때라고 판단한다. 그들은 대형 투자자들이 뭔가가 잘못되었음을 알고(또는 적어도 의심하고) 이탈하기 때문에 주가가 떨어졌다는 사실을 모른다. 가격 변동에서 이런 일이 생기면 펀더멘털이 뭐라고 말하든 빠져나가야 한다.
- 기민한 주식 트레이더로서 성공하려면, 행간을 읽고 불완전한 정보를 토대로 해독하고 결정하는 법을 익혀야 한다
- 추세는 당신의 친구다.</t>
  </si>
  <si>
    <t>■ My Strategy (인간의 행동은 인센티브에 의해 좌우된다. 사람을 설득하려면 이성이 아니라 이기심에 호소해야 한다.)
- '테마주'가 아닌 '현재 실적'을 내면서도 '미래 발전 추세'의 기업을 소유하면 폭락장에서도 불안하지 않다.
- '인큐베이터'섹션을 추가했다. 초기 투자 주식에 대한 별도의 관심과 신규 종목의 '양육 기준'을 세팅하자.</t>
  </si>
  <si>
    <t xml:space="preserve">- 전체 시장 지수가 하락 추세를 보이는 동안에도 주가 하락이 적거나 오히려 상승하는 종목을 찾아라
- 약세장 가격 조정 동안 잘 버티는 종목은 영업이익 상승 주기에 속한 경우가 많다
- 약세장에서 가장 잘 버티는 종목, 즉 가장 적게 하락하거나 다소 상승하는 종목을 찾아야 한다
- 손실을 최소화하는 합리적인 탈출 계획을 세워두지 않으면 언젠가는 커다란 곤경에 처하게 된다 </t>
  </si>
  <si>
    <t>【The FIVE】#138-065</t>
  </si>
  <si>
    <t>[Q.T묵상] 마태복음 20:29~34</t>
  </si>
  <si>
    <t>『맹인 두 사람이 길가에 앉았다가 예수께서 지나가신다 함을 듣고 소리 질러 이르되 '주요 우리를 불쌍히 여기소서 다윗의 자손이여 하니. 무리가 꾸짖어 잠잠하라 하되, 더욱 소리 질러 이르되 주여 우리를 불쌍히 여기소서 다윗의 자손이여 하는지라』
- 예수님은 군중속에서 두 맹인을 나치신다. 그들은 큰소리로 예수님을 부른다. 주위 사람들이 시끄럽다고, 잠잠하라고 하는데도, "더욱 소리질러" 예수님을 부른다. 예수님께서는 그들의 눈을 뜨게 해주셨고 그들을 새 삶을 얻었다. 맹인이나 정상인이나, 결국 삶의 근본적인 문제에 대해서는 해결할 방법이 없다. 그런데도, 주위 사람들은 삶의 근본적인 문제를 해결해주시는 예수님을 간절히 부르는 두 맹인을 꾸짖으며 저지한다. 내 삶에도 이렇게 예수님과의 만남을 저지하는 목소리들이 있다. 먹고사는 문제로 불아감을 부추기며 마음을 흔든다. 이럴때 "더욱 소리질러" 예수님을 부르자. 예수님게서는 찾는자를 만나주신다. 다윗의 자손 예수여, 저를 불쌍히 여기소서. 아멘.</t>
  </si>
  <si>
    <t xml:space="preserve"> - 오늘도 즐겁고 기대되는 하루가 될수 있어 감사합니다. 
 - 밤마다 잠자리에서 가족을 위해, 행복한 하루를 위해 기도하는 하남매가 있어 감사합니다.
 - 멘토와 만나 식사하고 교제하며 서로 격려하는 소중한 시간들에 감사합니다.
 - 먼 한국땅에서 좋은 친구들과 투자의견을 주고받으며 교류할수 있어 감사합니다.
 - 매일 아침 출근길, 어머니와 전화통화하며 즐거운 대화를 나눌 수 있어 감사합니다.
 - 운동을 다시 시작하며, 몸이 가벼워지고, 멋진 몸을 만들어 갈 수 있어 감사합니다. 
 - 고난을 통해 삶을 돌아보고, 반성하고, 더 나은 모습을 위해 노력할 수 있어 감사합니다.
 - 오늘도 최선을 다해서 하루를 보내도록 하겠습니다. 감사합니다. 고맙습니다.</t>
  </si>
  <si>
    <t>■ My Strategy (인간의 행동은 인센티브에 의해 좌우된다. 사람을 설득하려면 이성이 아니라 이기심에 호소해야 한다.)
- 드러켄 밀러의 투자철학이 내게는 매우 긍정적으로 느껴진다. 
- 일단 느낌이 온다면 시작하고, 학습으로 키워나가고, 손절라인은 철저히 지키며 짧은 손실 긴 수익을 남기자. 
- '손실은 짧게'는 인간이 가진 본능에 위배된다. 그래서 어렵다. 끊임없는 훈련이 필요하다.
-인큐베이터를 잘 관리하자.</t>
  </si>
  <si>
    <t>■ 마이크론
- AI 서버는 기존 서버와 완전히 다른 메모리 구조를 가지고 있음
- 과거 서버 구조는 단순 CPU → DRAM
- 하지만 AI 서버는 다음과 같은 계층형 메모리 구조를 사용
   GPU → HBM → CPU → LPDRAM → 스토리지(NAND)
- 메모리는 이제 단순한 부품 아닌,  AI 인프라의 핵심구성 요소
이 구조에서 HBM, LPDRAM, NAND이 세 가지 영역을 모두 공급할 수 있는 몇 안 되는 기업</t>
    <phoneticPr fontId="2" type="noConversion"/>
  </si>
  <si>
    <t>【The FIVE】#139-066</t>
  </si>
  <si>
    <t>Back to the Basic.</t>
  </si>
  <si>
    <t>[Q.T묵상] 마태복음 21:33~46</t>
  </si>
  <si>
    <t xml:space="preserve"> - '건축자의 버린 돌이 모퉁이의 머릿돌이 되었나니, 이것은 주로 말미암아 된 것이요 우리 눈에 기이하도다'
 - 건축자는 전문가다. 건축을 하는 동안, 건축자는 귀한 돌들을 어떻게든 필요를 찾아 사용한다. 이런 전문가가 버렸다는 것은 전혀 쓸모가 없는 무가치한 돌이라고 판단했기 때문일 것이다. 그렇게 세상은 무가치하다고 정의내린 것을 하나님께서는 하나님의 나라를 세우는 가장 중요한 머릿돌로 세우셨다.
 - 나 또한 세상으로부터 '무가치하다'고 평가받으며 괴로운 시간을 보내고 있다. 어떻게 하루아침에 이렇게 될수가 있는가 망연자실 하면서 내 자신을 탓하고 괴로워하고 있다. 하지만, 오늘 말씀을 통해 다시한번 손을 들고 하나님을 찬양한다. 세상은 무가치하다고 버린 돌을 머릿돌로 사용하신 주님. 주님 없이는 저는 무가치한 돌이 맞습니다. 주님 손에 붙들려 가치있는 인생이 되기를 간절히 원합니다. 주님과 동행하는 기쁜과 행복을 누리게 하소서. 아멘.</t>
  </si>
  <si>
    <t xml:space="preserve"> - 오늘도 즐겁고 기대되는 하루가 될수 있어 감사합니다. 
 - 자녀들이 가족을 위해, 자신을 위해 기도하는 습관을 주심에 감사합니다.
 - 하민이가 200페이지가 넘는 영어원서 소설을 완독하고 성취감을 주시니 감사합니다.
 - 조정장 속에서 잘못된 판단과 실수들을 통해 배움을 주시니 감사합니다.
 - 조정장을 통해서 '불안, 걱정, 미련, 아쉬움, 후회, 새로운 결심 후에 얼마지나지 않아 다시금 솟아오르는 탐욕....'  인간의 모든 감정의 오물들이 일시에 쏟아져 나왔습니다. 숨어있을땐 모르던 나의 본모습들을 생생하게 경험하고, 직시하고, 인정하게 하시니 감사합니다. 
 - 이러한 연약함들을 주님 앞에 내어 놓습니다. 투자를 통해 부르신 주님의 사명을 다시 새롭게 하기 원합니다.
 - 오늘도 최선을 다해서 하루를 보내도록 하겠습니다. 감사합니다. 고맙습니다.</t>
  </si>
  <si>
    <t>주식하는 마음(홍진채)</t>
  </si>
  <si>
    <t xml:space="preserve">■ Footprints in Books
- 이번 조정장을 통해 나의 투자 실력이 아직 마인트 콘트롤 조차 하지 못하는 수준이라는 것을 알게 되었다. 투자전력, 테크닉 관련 책보다는 아직은 마인드 셋과 투자의 기본을 중심으로 공부해야함을 절실히 느꼈다. 
- FSD 자율주행을 구현하기 위해서는 실주행 데이터가 필요하다. 실주행 데이터로 시뮬레이션을 수없이 돌려 FSD가 완성되는 것이다. 나도 이번 조정장을 통해 주식시장의 실주행 데이터를 조금이나마 갖게 되었다. 이러한 경험을 바탕으로 나의 투자가 조정장에서도 버텨낼수 있고, 위기를 기회로 만들어 낼 수 있는 투자인지 시뮬레이션을 해볼수 있게되었다. 다시 기초부터 시작하자. </t>
  </si>
  <si>
    <t>■ My Story
 - 그동안 무분별하게 '주식 쇼핑'을 해온 나는, 결국 신용카드 고지서를 받아들고 정신이 번쩍 들었다.
 - 어제까지..1년간의 수익을 모두 반납했다. 그리고 어제 아침 총 투자금의 30%수준을 현금화 했다.
 - 시장에서 퇴출되지 않아야하며, 언제 끝날지 모르는 전쟁과 유가의 흐름에 '도박'을 할수는 없었다. 
 - 하지만, 시장은 냉혹하다. 오늘 새벽 유가는 급락했고, 반도체 주는 모두 급등을 했다.
 - 현금화 한 만큼의 수익을 못번 것에 대한 아쉬움이 크다. 사람의 마음은 참 간사하다. 만약 주가가 떨어졌다면 안도하고 나의 결정에 감사했을 것이다. 
 - 이번 일을 계기로 나의 투자가 '경박스러웠다'는 것을 깨닫게 되었다. 나름대로 '가치투자'를 추구한다고 생각했지만, 그것은 그저 겉멋이었을 뿐, 실제적으로는 급등주와 상승모멘텀만 쫒아다니는 것에 지나지 않았다. 
 - 비싼 수업료지만, 이번을 계기로 나의 투자에 대해 다시한번 깊이 고민해본다.</t>
  </si>
  <si>
    <t>- 손절 없이 거래하는 것은 브레이크 없이 운전하는 것과 같다. 주가가 손절선까지 떨어지면 예외없이, 주저 없이 즉각 매도하라
- 손절은 대규모 피해 더 나쁘게는 파멸로부터 보호하기 위한 것이다.</t>
  </si>
  <si>
    <t>【The FIVE】#140-067</t>
  </si>
  <si>
    <t>겉모습 꾸미기가 아니라
인생의 모든 영역을
진실함으로 대하자</t>
  </si>
  <si>
    <t>[Q.T묵상] 마태복음 22:23~33</t>
  </si>
  <si>
    <t xml:space="preserve"> - '나는 아브라함의 하나님, 이삭의 하나님, 야곱의 하나님이다' 라고 하셨으니, 하나님은 죽은 사람의 하나님이 아니라 산 사람의 하나님이시다' 마태복음 22장 32절
 - '인간'이 인식하는 '죽음'으로 하나님의 영적인 세계를 판단해서는 않된다. 하나님께 있어서 '육체의 죽음'이 관계의 끝이 아닌 것이다. 비록 아브라함과 이삭과 야곱은 육체로는 죽었으나, 지금도 하나님은 그들의 하나님이자 나의 하나님이다. 우리 인간의 얄팍한 지식으로 하나님과 하나님 나라를 제단해서는 않된다. 언제나 겸손하게 하나님앞에 나아가 지혜와 긍휼을 구하고, 영적인 눈이 떠지도록 간절히 기도하자.
 - 산 자의 하나님. 말씀을 통해 하나님을 아는 지식이 날마다 깊어지게 하소서. 저의 얄팍한 생각과 경험으로 하나님을 제한하고 오해하지 않길 원합니다. 하나님의 말씀의 놀라운 능력에 감탄하는 데 머물지 않고, 말씀에 삶을 걸고 하나님 나라를 위해 온전히 헌신하게 하소서. 아멘.</t>
  </si>
  <si>
    <t xml:space="preserve"> - 오늘도 즐겁고 기대되는 하루가 될수 있어 감사합니다. 
 - 잠들때, 눈을 뜰 때, 가장 먼저 자녀들과 포옹하고 사랑을 고백하게 하시니 감사합니다.
 - 최근 더 파이브를 잠시 내려놓고, 겉모습에 지중한 제 삶을 반성하게 하시니 감사합니다.
 - 모양만 있는 경건이 아니라, 진실한 경건의 삶을 바라게 하시니 감사합니다. 
 - 하나님이 저를 사랑하시고, 저를 옳은 길로 인도하신다는 확신을 주시니 감사합니다. 
 - 소중한 사람들과의 만남에 감사합니다. (뭉클, The Five, 더불어00, 위디순, 주품에)
 - 투자공부를 통해 인간의 욕망과 탐욕, 불안과 공포, 공허와 허무, 또다시 시작되는 욕망과 
   탐욕.... 죄성으로 가득한 인간의 마음을 제 안에서 농축해서 보고 느끼게 하시고, 그 가운
   데서 선한 비전으로 새롭게 되는 소망을 보게 하시니 감사합니다.
 - 오늘도 최선을 다해서 하루를 보내도록 하겠습니다. 감사합니다. 고맙습니다.</t>
  </si>
  <si>
    <t>■ Footprints in Books
- 대부분의 우리의 의사결정은 '무의식'이 좌지우지하는 경우가 많다. 대다수의 주식투자자의 패턴과 감정의 변화가 유사한 이유도 바로 이러한 '무의식'이 결정하는 것에 있다. 
- 따라서, 무의식적 좀비가 우리를 지배하게 두지 않고 복잡계에서 생존할 수 있는 의사결정을 하는 방법에 대해서 공부가 필요하다.</t>
  </si>
  <si>
    <t>■ My Story
- 매일의 독서를 통해 학습기계가 되어야한다. 학습 복리효과를 위해 하루 하루, 멈추지 않는 것이 중요하다.
- 대부분의 감정변화는 '무의식'을 통해 결정된다. 어떻게 하면 '무의식'의 세계를 이해할 수 있을까?
- 주식투자를 '또다른 자아'인 '감정'의 변화를 관찰할수 있다. 마치 지킬발사가 자기 몸에 직접 생체실험을 하는 
  것처럼, 내 마음과 심리에 직접 실험하는 느낌이지만, 이 경험을 통해서 '삶의 비밀'과 마주할 수 있을 것 같다.
- 쫒기는 삶을 버리고, 어던 일이든 내 생각과 내 계획보다 30분 먼저 움직이자. 이것부터 실천해보자.</t>
  </si>
  <si>
    <t>- 투자의 기본은 불확실성이다
- 투자 세계에는 운이 많이 작용하는데, 우리는 성과가 좋을 때마다 운을 실력으로 착각한다.
- 지속적으로 수익을 낼 수 있는 원칙의 집합이 중요하다</t>
  </si>
  <si>
    <t>【The FIVE】#141-068</t>
  </si>
  <si>
    <t>의사결정은 직관과 추론
직관은 '본능'의 영역이고,
생존을 위해서는 필수적이지만
자본시장과 같은 복잡계에서는
오히려 생존을 위협한다
직관을 제어하라.</t>
  </si>
  <si>
    <t>[Q.T묵상] 마태복음 23:25~39</t>
  </si>
  <si>
    <t xml:space="preserve">  '잔과 대접의 겉은 깨끗이 하되, 그 안에는 탐욕과 방탕으로 가득하게 하는도다'
  '회칠한 무덤 같으니, 겉으로는 아름답게 보이나 그 안에는 죽은 사람의 뼈와 모든 더러운 것들이 가득하도다'
  '겉으로는 사람에게 옳게 보이되, 안으로는 외식과 불법이 가득하도다'
  하나님께만 인정받으면 된다. 하나님 외에 모든 것은 피조물이고, 다같이 연약하고, 다같이 죄인이다. 하나님 기준에는 날나고 못난 사람도 없고, 큰죄, 작은죄도 없다. 그저 모두가 피조물이고 다 동일하다. 그런데도, 인간은 서로에게 더 잘보이고, 더 인정받고 싶어한다. 그래서 자꾸 꾸며낸다. 스스로를 과대포장하고 가식적인 삶을 산다.   사람은 겉을 보지만, 하나님은 그 사람의 속까지 모두 보신다. 숨길 수 없다. 하나님과 동행하는 인생은, 그저 하나님께만 인정받으면 된다. 진실하게, 정직하게, 겸손하게, 낮은 자의 삶, 섬기는 자로서의 삶을 살자.
 주님, 저는 죄인입니다. 그래서 죄를 떠날수가 없습니다. 그래서 더더욱 예수님의 구원의 은혜에 감사합니다. 거저사는 삶이니, 주짐 뜻대로 살게 하옵소서. 성령 충만케 하옵소서. 아멘.</t>
  </si>
  <si>
    <t xml:space="preserve"> - 오늘도 즐겁고 기대되는 하루가 될수 있어 감사합니다. 
 - 오늘 큰집 ROS와 함께 점심식사로 물회와 튀김을 먹으며 교제를 나누게 되어 감사합니다. 
 - 퇴근 후 문프로님과 함께 스크린 라운딩을 하며 교제할수 있어 감사합니다. 
 - 문프로님이 KPGA 비전을 갖게되어 큰 격려가 되고 도전이 됩니다! 감사합니다.
 - 저도 연말에 문프로님과 함께 티칭프로 목표를 갖게 하시니 감사합니다. 
 - 투자에 대한 마인드롤 새롭게 해주시고, 평안한 마음과 사명감을 주시니 감사합니다. 
 - 귀가할 때, 하남매가 안아주고 보고싶었다고 말해주니 너무 행복합니다.
 - 오늘도 최선을 다해서 하루를 보내도록 하겠습니다. 감사합니다. 고맙습니다.</t>
  </si>
  <si>
    <t xml:space="preserve">■ Footprints in Books                                                                                              Next Book : 조너선 하이트의 《바른 마음》
- 인간의 의사결정에는 직관과 추론이라는 서로다른 두 과정이 있다. 대부분의 상황에서는 '직관'이 우선하고 '추론'은 직관을 뒷받침하는 보조자 역할을 한다. 직관은 과거의 경험, 감정, 무의식등에 의해 이미 그 처리절차가 세팅되어있어 외부자극에 대해 즉각적인 반응이 나오면서도 아주 적은 에너지로 효과적인(생존과 직결된 자기 보호 위주) 결정을 할수 있다. (특히 '감정'은 직관이 작동하는 대표적인 연산 방식의 하나이다. 생존의 위협을 느끼면, 공포, 불안을 느끼게 되고 즉각적으로 생존을 위해 반응하게 된다)
- 우리는 합리적 추론과 판단을 통해 자유의지로 의사결정을 한다고 생각하지만, 대부분은 '무의식적 좀비(직관, 무의식, 감정)에 의해 행해지고 있다. 이러한 '무의식적 좀비'는 원시시대로부터 현재에 이르기까지 인간이 생존하는데에 크게 기여했지만, '자본시장'이라는 복잡계에서는 생존이 불가능하다. '무의식적 좀비'가 내 돈으로 투자의 의사결정을 하지 못하도록 방법을 찾아야한다. </t>
  </si>
  <si>
    <t>- 독서는 나 자신을 바꿀수 있는 최고의 방법이다. 특히, 독를 통해 사고방식과 행동을 바꾸는 것, 그것이야말로 책의 진정한 효과다
- 투자서를 다독하면 먼저 투자자로서의 의식이 만들어지고, 투자자로서의 사고 방식을 가지고 투자행동을 하게 된다. 이때 진짜 투자자가 된다.
- 시간이 중요하다, 독서의 효과를 보려면 최소한 하루 1시간, 1년은 읽어야 한다.</t>
  </si>
  <si>
    <t>【The FIVE】#142-069</t>
  </si>
  <si>
    <t>[Q.T묵상] 마태복음 24:1~14</t>
  </si>
  <si>
    <t xml:space="preserve">- 사람들이 너희를 핍박당하도록 넘겨주고, 너희를 죽일 것이며, 모든 민족이 나로 인해 너희를 미워할 것이다'
- 그러나, 끝가지 굳게 서 있는 사람은 구원을 얻을 것이다.
- 마지막때를 사는 제자의 삶이 세상의 미움을 감내하고, 고난을 피하지 않는 여정임을 잊지않게 하소서. 주님이 가꾸실 새 시대를 소망하며 복음의 일꾼으로 성장하게 하소서. 
- 믿는 사람의 삶은 고난과 핍박이 있는 삶임을 예수님은 이야기하고 있다. 하지만, 우리는 믿음을 가지면 뭔가 잘 될 것이라는 기복적인 생각을 하게된다. 예수님과 가장 가까이 지냈고, 가장 열정적으로 예수님을 전했던 제자들은 모두 비참한 최후를 맞이했다. 기억하라. 믿음의 삶은 '우리가 생각하는 그런' 삶이 아니다. </t>
  </si>
  <si>
    <t xml:space="preserve"> - 오늘도 즐겁고 기대되는 하루가 될수 있어 감사합니다. 
 - 오늘 아침 컨디션이 좋지 않음에도 불평없이 하루를 시작하게 되어 감사합니다. 쉼과 운동을 통해 건강한 삶을 살아갈수 있게되길 기도합니다.
- 독서의 분량은 줄이고, 생각하는 시간을 늘리니 독자에게 전달하고 싶은 작자의 의도와 내용을 좀더 분명히 이해하게 됩니다. 천천히 그리고 꾸준히 이어나가겠습니다.
 - 오늘 회사 후배가 인생 첫 스크린 라운딩을 저와 함께 하였습니다. 뜻깊고 즐거운 시간을 갖게되어 감사합니다.  
 - 오늘도 최선을 다해서 하루를 보내도록 하겠습니다. 감사합니다. 고맙습니다.</t>
  </si>
  <si>
    <t xml:space="preserve">■ Footprints in Books                                                                                       (Next Book : 조너선 하이트의 《바른 마음》)
 - '기억과 기록' : 사람의 의사결정은 직관과 추론 두가지 과정이 있지만, 직관(무의식, 감정반응 등)에 의한 결정이 대부분이라고 할정도로 강력한 힘을 발휘하고 있다. 주식투자라는 복잡계에서 직관은 억누르고 추론의 방식을 통해 판단하는 훈련이 필요하다. '추론훈련'을 위해서는 투자의사결정이 옳았는지 틀렸는지를 평가하고, 보완하여 다시 시행하는 방식으로 진행해야 하는데, 과거 투자의사결정을 '기억'의존해서는 않된다. 에 의존훈련진행해야한다. 이를 위해서는 '기록'이 필수적이다.
 -  인간의 기억을 인출하는 과정은 객관적 실체를 읽어내는 것이 아니라, 장기기억에 저장된 어렴풋한 요소들을 현재의 뇌에 감정과 더불어 재구성하므로, '기억이란' 그것을 떠올릴 때마다 '회상하는 자신'이 만들어낸 새로운 '가상의 과거' 이다. 따라서, 완전히 객관적인 사실로서의 '기억'은 없다. 그러므로 매번 투자의사결정시에 왜 매수/매도를 하였는지 반증 가능한 명제를 중심으로 기록하자. </t>
  </si>
  <si>
    <t>【The FIVE】#143-070</t>
  </si>
  <si>
    <t>[Q.T묵상] 마태복음 24:15~28</t>
  </si>
  <si>
    <t xml:space="preserve"> - '그러나 택하신 사람들을 위해 하난님께서 그날들을 줄여 주실 것이다' - 마 24:22
 - 큰 환난 가운데서도 주님이 택한 사람을 보호하신다. 그러므로, 환난 자체를 두려워하고 걱정하기 보다는, 주님과 동행하는 삶을 사는 것에 초점을 맞춰야 한다. 단순히, 환난을 피하기 위함이 아니라, 두려움을 벗어나 진정한 삶의 의미를 누리며 살수 있기 때문이다.
 - 주님, 탐욕과 이기심을 부추기며 진리를 호도하는 악한 세력의 시도에 흔들리지 않도록 말씀 위에 굳게 서게 하소서. 주짐이 다시 오시는 날까지 제 믿음을 지키게 하소서.</t>
  </si>
  <si>
    <t xml:space="preserve"> - 오늘도 즐겁고 기대되는 하루가 될수 있어 감사합니다. 
 - 가족의 건강을 지켜주심에 감사합니다. 
 - 업무에 부족한 능력을 주님 앞에 내어드립니다. 나의 능력이 아닌, 주님께서 주시는 능력으로 일하시길 원합니다.
 - 하민이의 기도대로, 가족이 더 많은 시간을 함께 할수 있기를 원합니다. 
 -
 - 
 - 오늘도 최선을 다해서 하루를 보내도록 하겠습니다. 감사합니다. 고맙습니다.</t>
  </si>
  <si>
    <t xml:space="preserve">■ Footprints in Books                                                                                       (Next Book : 조너선 하이트의 《바른 마음》)
- </t>
  </si>
  <si>
    <t>■ My Story</t>
  </si>
  <si>
    <t>취침 - 00:30
기상 - 06:30</t>
  </si>
  <si>
    <t>【The FIVE】#144-071</t>
  </si>
  <si>
    <t>[Q.T묵상] 마태복음 25:14~30</t>
  </si>
  <si>
    <t>▶착하고 신실한 종 : 5달란트, 2달란트를 맡은 종은 '곧장 가서', '장사를 했다'
▶악하고 게으른 종 : 주인이 무서워 그대로 땅에 묻어두었다.
 - 주인의 의도를 잘 알고, 주인이 맡긴 일에 즉각적으로 반응하며, 최선을 다하는 종. 이 종들이 만약 이익을 남기지 못하고 손해를 보았다면 주인은 어땠을까? 여전히 칭찬해 주었을 것이다. 결과가 아닌 그 순종의 마음과 태도를 평가하실 것이기 때문이다. 
 - 악하고 게으른 종은 주인에 대해 큰 오해를 하고 있다. 심지 않은 데서 거두고, 씨 뿌리지 않은 곳에서도 곡식을 모으는 사람'으로 인식한다. 그리고, 그러한 주인을 핑계로 맡겨준 돈을 땅속에 묻어둔다. 우리는 주님의 마음을 잘 알아야한다. 그러기 위해서는 주님과 매일 '만나고', '소통'해야한다. 
 - 주님, 주님의 마음을 알기 원합니다. 주님의 마음을 함께 느끼기 원합니다. 주님을 더 깊이 알기 원합니다. 아멘.</t>
  </si>
  <si>
    <t xml:space="preserve"> - 오늘도 즐겁고 기대되는 하루가 될수 있어 감사합니다. 
 - 하나님의 자녀인 하남매를 저희 부부에게 맡겨주시니 감사합니다. 하남매가 주님의 자녀로 잘 성장할 수 있도록 양육하는 것을 가장 큰 사명으로 여기고, 주님이 공급해주시는 모든 것들로 최선을 다하는 착하고 신실한 종이 되겠습니다.  
 - 
 -  
 - 
 - 오늘도 최선을 다해서 하루를 보내도록 하겠습니다. 감사합니다. 고맙습니다.</t>
  </si>
  <si>
    <t>■ Footprints in Books                                                                                       (Next Book : 조너선 하이트의 《바른 마음》)
- 경기가 좋을 때 주식을 사고, 경기가 나쁠때 주식을 파는 '마켓 타이밍' 방식의 투자는 두가지가 전제되어야한다. 하나, 경기를 예측 할 수 있어야 한다. 둘, 경기 변동과 주가 간에 상관관계가 있어야 한다. 하지만, 결론적으로 경기를 예측하는 것은 전문가도 불가능하며, 경기 변동과 주가간에도 상관관계를 찾기 쉽지 않다. 따라서, 마텟 타이밍 방식의 투자는 대부분 실패하게 되어있다.
- '마켓타이밍을 추구할 수 없다면, 매수/매도의 판단을 어떻게 해야할까? 1.현재의 가격대는 편안한가. 2. 현 가격대에서 3년간 보유할 경우 연평균 기대수익률은 얼마인가? 3. 만약 상승한다면 얼마나 상승할 수 있고, 하락한다면 얼마나 하락 할 수 있는가? 
- 현재의 '편안한 가격대'를 정의하기 위해 여러가지 공식화된 TOOL을 사용하여 가격 평가가 이루어져야 한다.</t>
  </si>
  <si>
    <t>취침 - 00:00
기상 - 05:20</t>
  </si>
  <si>
    <t>【The FIVE】#145-072</t>
  </si>
  <si>
    <t>[Q.T묵상] 마태복음 26:14~25</t>
  </si>
  <si>
    <t xml:space="preserve">■ 믿음의 길을 포기하라고 나를 유혹하는 '은돈 30'은 무엇인가?
- 믿음의 길을 포기하라고 하는 것들은 외부로부터 들어오는 '폭력, 억압, 강요, 협박'이 아니다. 바로 나의 내면으로부터 솟아나는 '탐욕, 욕망, 정욕, 무절제' 들이다. 그리고, 그것들은 매우 선한 의도로 포장되어 있어 구분하기도 쉽지 않다. 특히, 내가 잘할 수 있는 '인본주의적인 선함'은 세상 사람들로부터 칭송을 들으며, 나 스스로에게도 '선함'으로 만족을 준다. 하지만, 이 선함 조차도 '나를 높이는' 것이 동기이지, 그 마음에 예수님은 없다. 사탄은 내가 부지불식간에 죄를 짓기를 원한다. '육신의 정욕, 안목의 정욕, 이생의 자랑' 
■사탄이 넣어주는 생각을 물리치기 위해 내게 필요한 영적 훈련은 무엇인가?
- 내 스스로 극복하려는 노력은 오히려 사탄이 것이다. 매일 말씀의 거울 앞에서 죄인된 나 자신과 마주해야 한다. 말씀은 나 자신을 가장 잘 비춰준다. '극복하려 몸부림 치기보다, 그저 말씀앞에 서는 영적 훈련이 필요하다. 매일 Q.T와 기도와 찬양을 통해 예수님과 깊은 교제를 나누자. </t>
  </si>
  <si>
    <t xml:space="preserve"> - 오늘도 즐겁고 기대되는 하루가 될수 있어 감사합니다. 
 - [더 파이브] 와 운동을 다시 시작할 수 있게 해주심에 감사합니다.
 - 하남매가 학교에서 TED 발표를 잘 할수 있게 해주심에 감사합니다. 
 - 하민이와 'T'자형 인재상과 인생의 '베이스 캠프' 의 개념에 대해 이야기 나눔에 감사합니다.
 - 미향이가 꾸준히 새벽기도를 할 수 있게 해주심에 감사합니다.
 - 멘토와 오찬을 함께하며 인생과 투자에 대해서 함께 교류 할 수 있어 감사합니다.
 - 제가 유투브 숏츠를 절제하고, 꾸준히 독서할 수 있도록 힘을 주세요. 
 - 업무에 AI TOOL을 적극 활용하여, 시대의 변화를 잘 따라가도록 지혜를 주세요.
 - 오늘도 최선을 다해서 하루를 보내도록 하겠습니다. 감사합니다. 고맙습니다.</t>
  </si>
  <si>
    <t>■ 존템플턴, 1969-1991 22년간의 기간을 조사한 결과, 저점에서 투자하든 고점에서 투자하든 수익율 차이는 고작 1%에 불과하다. 따라서 투자에서 중요한건 일단 시작하는 것 그리고 순환하는 시장과 신문 머리기사에 힌들리지 않는 것이다.</t>
  </si>
  <si>
    <t>취침 - 20:00
기상 - 06:00</t>
  </si>
  <si>
    <t>【The FIVE】#146-073</t>
  </si>
  <si>
    <t>투자 아이디어' 
소진 여부가
매매의 기준이 된다</t>
  </si>
  <si>
    <t>[Q.T묵상] 마태복음 27:27~44</t>
  </si>
  <si>
    <t>■ 예수님은 나를 위해 가시관을 쓰셨는데, 나는 세상의 어떤 왕관을 갈망하고 있는가..
- 로마 군인들은 예수님께 자주색 옷을 입히고, 가시관을 쒸워 조롱한다. 골고다에 이으러 예수님을 십자가에 못박고 '유대인의 왕 예수'라 쓴 팻말을 붙인다. 주의 제자의 삶을 살기 원하는 나는 어떤 면류관을 기대하는 것일까? 부귀? 명예? 세상의 인정? 가족과의 평안하고 행복한 삶? 아무 걱정없는 평탄한 삶? 적당히 누리고 적당히 만족하는 그런 면류관? 주를 닮은 삶은 '세상영광의 황금면류관'이 아닌, 조롱섞인 '갈대면류관'을 쓰는 것이다.
■ 고난 속에서 나는 자기를 부인하며 주님을 따르는가, 내 힘을 증명하려 하는가?
- 십자가에 못박힌 예수님 앞을 지나가는 사람들과 종교 지도다들은 예수님을 향해 '하나님의 아들이거든 자기를 구원하고 내려오라', '남을 구원한다더니 정작 자기 자ㅣㄴ을 구원하지 못하는군!' 십자가에서 내려와보라지. 그러면 우리가 그를 믿어주겠다'며 조롱한다. 내가 주님이었다면 정말 십자가 고통보다 저 말들이 더 큰 고통을 주었을 것이다. 하지만, 예수님께서는 '자기증명'이 아닌 '자기부인'의 길을 택하셨다. '사명'을 생각하셨다. 십자가 사명.</t>
  </si>
  <si>
    <t xml:space="preserve"> - 오늘도 즐겁고 기대되는 하루가 될 수 있어 감사합니다. 
 - 대호소장님이 주신 '자기 선언문'을 오늘 처음 하민이와 함께 거울에 손을 얹고 
   실천하였습니다. 아침마다 마음을 새롭게 할수 있어 감사합니다. 
 - 순장님이 주신 직장기도문으로 직장에서도 마음을 새롭게 하시니 감사합니다.
 - 하민이가 TEDx 영어 발표를 잘 하고 스스로도 자부심을 갖게 되어 감사합니다.
 - 지난 3일간 몸살 감기로 고생했는데 어제 병원에서 수액 맞고 호전되어 감사합니다. 
 - 한국에서 온 감사를 무탈하게 잘 받게 해주심에 감사합니다.
 - 주식시장이 점차 회복됨에 감사합니다. 전쟁이 빨리 종식되길 기도합니다.
 - 오늘도 최선을 다해서 하루를 보내도록 하겠습니다. 감사합니다. 고맙습니다.</t>
  </si>
  <si>
    <t>■ Footprints in Books                                                                                       (Next Book : 조너선 하이트의 《바른 마음》)
- 주식 매매의 본질적 기준은 단기적 가격 변동이나 외부의 격언이 아닌 '투자 아이디어의 소진 여부'이다. 매수 당시 세웠던 가설이나 근거가 더 이상 유효하지 않게 되었다면, 현재 계좌가 수익권인지 손실권인지는 중요하지 않다. 예를 들어, 특정 기업의 기술 개발 성공을 기대하고 매수했으나 개발이 무산되었다면 이는 아이디어가 소진된 것이다. 이때 손실을 보고 팔더라도 이는 단순한 '손절'이 아니라 아이디어 소진에 따른 합리적 리밸런싱이다. 반대로 실적이 예상대로 성장하여 주가가 기업 가치를 충분히 반영했다면, 아이디어가 실현되어 소진된 것이므로 '익절'을 결정해야 한다. 타인은 매매 결과만을 보고 '물타기'나 '추세 추종'이라 평하지만, 투자자는 자신의 머릿속 아이디어를 기준으로 원점에서 비중을 다시 고민해야 한다. 만약 아이디어의 유효성이 불분명하여 확신이 흔들린다면 보유 물량의 3분의 1을 매도하여 후회를 최소화하고 심리적 안정을 찾는 것이 현명하다. 결국 투자는 가격을 맞추는 행위가 아니라 아이디어를 지속적으로 점검하며 최적의 비중을 찾아가는 과정이다.</t>
  </si>
  <si>
    <t>🎯 나의 투자 판단: 단기-변동성 지속 가능, 중장기-상승 확률 높다고 판단, 전략- 분할 매수 접근 과열 시 일부 차익 실현
📌 체크 포인트 (지속 관찰)
메모리 가격 추이 (DRAM / NAND), AI 서버 수요 지속 여부, 설비투자 증가 속도, 경쟁사 공급 확대 여부
✍️ 한줄 결론
👉 “공포로 할인된 AI 핵심 기업, 하지만 사이클 리스크는 항상 경계”</t>
  </si>
  <si>
    <t>【The FIVE】#147-074</t>
  </si>
  <si>
    <t>AI 반도체 시장의 
새로운 병목, 
에이전트 AI와 서버 CPU!
연구하고 공부하자</t>
  </si>
  <si>
    <t>[Q.T묵상] 마태복음 27:45~56</t>
  </si>
  <si>
    <t>■ 예수님의 십자가 죽음으로 내가 누리게 된 가장 큰 은혜는 무엇인가?
- 예수님이 돌아가시자 성전의 휘장이 위에서 아래까지 두쪽으로 찢어졌고,죽었던 많은 성도들의 몸이 살아났다. 성전은 오로지 제사장만 들어갈 수 있는 곳으로, 다른 사람이 들어가면 죽게되었는데, 예수님의 죽으심으로 성전의 휘장이 찢어져 더이상 하나님과 나 사이를 가로막는 것은 존재하지 않게 되었다. 바로 모든 사람이 제사장이 된 것이다. 하나님 앞에 담대히 나아가 예배드리고 직접 교제할 수 있는 길을 열어주셨다. 
■ 예수님의 십자가의 죽음은 나에게 어떤 의미가 있는가?
- 예수님의 십자가는 나에게 새로운 삶을 주셨고, 구원의 길을 열어주셨다. 가난과 열등감, 낮은 자존감과 우울감으로 살던 내게 예수님은 다가오셔서 '너는 참 귀한 존재다, 너를 사랑한다. 내가 너와 항상 함께 있다.'고 하시며 나를 만나주셨고, 새롭게 해주셨다. 예수님의 십자가 사건은 그저 역사적 사건이 아닌, 그분을 믿는 모든 사람에게 이와같은 구원을 주시는 놀아운 계시적 사전이다. 주님, 구원의 기쁨과 감사 만으로도 이미 나의 인생은 충분히 행복하고, 감사하고, 살아가는 의미가 있습니다. 주님의 구원의 은혜를 날마다 묵상하게 하소서. 아멘.</t>
  </si>
  <si>
    <t xml:space="preserve"> - 오늘도 즐겁고 기대되는 하루가 될수 있어 감사합니다. 
 - 예수님, 오늘도 제 삶에 다가오셔서 말씀하시고, 축복하시고, 인도하시니 감사합니다.
 - 광야와 같은 북경에서 주님을 다시 만나 주님의 보호하심만 의지하게 하시니 감사합니다. 
 - 나에게 저주를 퍼붓는 자가 있으나 그것에 주눅들거나 슬퍼하지 않게 하시니 감사합니다.
 - 어제 온가족이 예수님의 사랑을 떠올리며 서로간에 세족식을 하게 하시니 감사합니다.
 - 미향이와 '탕자'이야기를 통해 아버지와 동행하는 삶의 참된 의미를 깨닫게 해주세요.
 - 몸살 감기에서 회복하게 하시니 감사합니다.
 - 업무에 대해서도 새로운 도전을 하게 하시니 감사합니다. 참된 관리자로 변화되게 하소서.
 - Q.T와 독서, THE FIVE 를 꾸준히 할 수 있게 힘을 의지를 주세요. 
 - 오늘도 최선을 다해서 하루를 보내도록 하겠습니다. 감사합니다. 고맙습니다.</t>
  </si>
  <si>
    <t>■ Footprints in Books_Chapter5. 늘 하지만 무의미한 질문들 - 개인 매수가 많으면 위험하지 않나요?
- 기관과 개인의 매매 관계는 '누가더 조급하게, 일관성있게, 다른 변수에 영향을 덜 받으면서 강력하게 매수 또는 매도를 할수 있는가' 이며, 대부분의 자금 집중도가 높은 외국인과 국내기관 투자자이다. 따라서, 기관을 기준으로 상황을 판단하는 것이 합리적이다.
  ☞ 기관이 매수하고 개인이 매도하는데 주가가 오르면 : 기관이 조급하게 매수에 나서고 있다. 
  ☞ 기관이 매수하고 개인이 매도하는데 주가가 내리면 : 기관이 조금씩 매수에 나서고 있지만 급하지 않다.
  ☞ 개인이 매수하고 기관이 매도하는데 주가가 오르면 : 기관이 급하게 팔고싶어하지 않는 상황이다.
  ☞ 개인이 매수하고 기관이 매도하는데 주가가 내리면 : 기관이 급하게 팔고있는 상황이다.</t>
  </si>
  <si>
    <t>- 전쟁 종전 기대감으로 주가가 먼저 알고 상승하였다
- 기존 공부를 통해서 주식을 팔지 않고 버틸 수 있는 경험과 용기가 생겨서 다행이다 
- 유목민 저자가 말한 것 처럼 공부는 필수적이다 
- 인간은 행동심리학적으로 손실회피를 싫어한다 
- 다시한번 독서와 금융공부가 중요하다는 걸 실감하게 하는 하루인 것 같다.</t>
  </si>
  <si>
    <t>【The FIVE】#148-075</t>
  </si>
  <si>
    <t>독서를 통한 배움의 삶
자기선언을 통한 확신
주님에 대한 믿음
행복한 가정
건강한 육체
충분한다!</t>
  </si>
  <si>
    <t>[Q.T묵상] 마태복음 27:57~66</t>
  </si>
  <si>
    <t xml:space="preserve">■ 내게 득이 되지 않아도 신앙적으로 내가 마땅히 행할 일은 무엇인가?
- 주님의 가르침을 받은 제자라면, 주짐의 말씀대로 살 수 있어야 한다. 내게 득이 되지 않고 오히려 손해를 가져오는 상황이라고 하더라도 '배운바에 굳게 서는 제자의 삶'은 그 자체로 가치가 있다. 인생에서 얻는 부와 명성의 '득'은 영적인 삶의 가치와 비교할수 조치 없다. 
■ 복음을 막으려는 세상의 방해 속에서 나의 믿음 생활은 어떠한가?
- 세상은 교묘하게 나의 믿음 생활을 막고 방해한다. 종교의 자유는 보장되나, 모두의 응근한 시선과, 회사 내에서, 사회적으로 세상사람들의 모임과 규칙에 따라야한다는 응근한 압박. 그리고, 내 마음속에 그 것을 따르지 않으면 사회에서 소외된다는 두려움과 걱정들이 나의 믿음 생황을 주저하게 한다. 방어적 신앙인으로 사는 모습은 이런 파도 앞에서 어려움을 겪게 된다. 오히려 적극적인 신앙생활과 복음 전파를 통해 세상의 파도를 당당하게 헤쳐나가는 지혜까 필요하다. 주님, 저에게 복음을 전하고 실천하는 적극적인 믿음을 주세요. 아멘. </t>
  </si>
  <si>
    <t xml:space="preserve"> - 오늘도 즐겁고 기대되는 하루가 될수 있어 감사합니다. 
 - 예수님의 십자가 죽음, 그리고 부활에 감사합니다.
 - 예배가 삶의 중심이 될 수 있게 변화시켜 주심에 감사드립니다. 
 - 광야같은 인생에서, 저의 손을 놓지 않고 끝까지 인도해주시는 주님 감사합니다.
 - 미향이가 탕자 말씀을 통해 내면이 변화되는 기회를 주심에 감사합니다.
 - 청명절 연휴와 좋은 날씨 주심에 감사합니다.
 - 오늘 문프로님과 신부장님, 이렇게 좋은 두분을 모시고 골프를 칠수 있어 감사합니다. 
 - 오늘도 최선을 다해서 하루를 보내도록 하겠습니다. 감사합니다. 고맙습니다.</t>
  </si>
  <si>
    <t>■ Footprints in Books_Chapter6. 있어보이지만 위험한 격언들 
- 주식 시장은 ‘예측보다 노출’ : 정확한 시점이나 가격을 맞히려는 시도의 한계를 인정하고, 발생 가능한 상황에 대비해 유리한 포지션을 구축하는 전략을 의미한다. 시장 심리의 변곡점이나 정확한 고저점은 사후에만 확인 가능하므로, 단기적 예측보다는 리스크에 노출되는 정도를 조절하는 것이 본질이다. 예측이 부실한 다리가 정확히 언제 무너질지에 베팅하는 것이라면, 노출은 그 다리를 건널 때 보험을 들어 발생할 수 있는 손실에 대비하는 것과 같다. 주가 측면에서도 단순히 “2만 원까지 갈 것”이라고 단정하기보다, 운이 나쁠 때 내려갈 하한선과 운이 좋을 때 올라갈 상한선을 범위로 설정하여 현재 가격의 매력도를 판단하는 과정이다.
  투자자는 “지금이 공포의 정점인가”를 묻기보다, “사람들이 더 공포에 빠진다면 가격이 얼마나 더 하락할 수 있는가”를 자문해야 한다. 이는 하락 지점을 맞히려는 것이 아니라, 스스로 감내해야 할 손실률과 잠재 수익률을 명확히 인식한 상태에서 투자 비중을 결정한다는 뜻이다. 결국 투자는 가격을 맞히는 행위가 아니라, 계산된 리스크와 수익 기회에 자신을 영리하게 노출시키는 과정이다.</t>
  </si>
  <si>
    <t xml:space="preserve">- 어떤 일이 있어도 '나는 행복하다'라고 생각하자. 풍요로운 파동에는 반드시 풍요로운 것들이 몰려든다.
- 설령 불만이 있더라도 "나는 행복하다"하고 말해보거나 속으로 크게 외쳐보면 뇌가 머리와 마음의 괴리를 메우려고 하면서 행복을 향해 마음을 옮기려고 한다. 
- 타인은 절대 내가 바꿀수 없다 
- 내가 바꿀수 있는 것은 오로지 나 자신뿐입니다
- 우리가 스스로 바꿀수 없는 일에 일일이 화를 내다보면 밖에 나갈 때마다 피곤해 질 것입니다 </t>
  </si>
  <si>
    <t>【The FIVE】#149-076</t>
  </si>
  <si>
    <t>■ 
- 
■ 
-</t>
  </si>
  <si>
    <t xml:space="preserve"> - 오늘도 즐겁고 기대되는 하루가 될수 있어 감사합니다. 
 - 
 - 
 - 
 - 
 - 
 - 
 - 오늘도 최선을 다해서 하루를 보내도록 하겠습니다. 감사합니다. 고맙습니다.</t>
  </si>
  <si>
    <t xml:space="preserve">■ Footprints in Books_Chapter5. 늘 하지만 무의미한 질문들 -                                                                               
- </t>
  </si>
  <si>
    <t>취침 - 23:00
기상 - 05:50</t>
  </si>
  <si>
    <t>【The FIVE】#150-077</t>
  </si>
  <si>
    <t xml:space="preserve">하나님께서 세상을
창조하시고
운행하시고
다스리신다
그리고, 그분이 
나의 아버지가 되어 주시고
나를 사랑하신다
내가 하남매를 
내 목숨보다 더
아끼고 사랑하는 것처럼.
</t>
  </si>
  <si>
    <t xml:space="preserve">■ 하나님이 통치하고 계시기에 내가 내려놓을 불안감은 무엇인가?
- 만일 우리 회사의 회장님이 나에게 와서, '사실 나는 네 아빠고, 너는 내 아들이다. 회사의 모든 것은 네게 유산으로 물려줄 것이니, 너는 나를 믿고 회사 생황에서 어떠한 걱정도 하지 말고 담대히 다니며, 이 회사를 다스릴 인재가 되어라' 라고 말해준다면, 나는 그후로 회사생활에서 어떠한 고민도 없을 것이다. 하나님은 이 세상을 만드시고, 운행하시고, 다스리신다. 그리고 그분이 내게 와서, '나는 네 아빠다. 너는 내 아들이다.' 라고 말씀해주신다. '이 세상을 정복하고 다스리라' 고 말씀하신다. 내게 필요한 것은 '어떠한 능력'이 아니라 바로 이러한 하나님을 믿는 믿음 뿐이다. 
■ 무질서하고 혼돈한 이 세상에서 나는 누구를 혹은 무엇을 신뢰해야 할까?
-바다의 파도는 무질서하고 혼돈하며, 끝이 없다. 하지만, 그것들은 그저 바다에서만 힘을 쓴다. 산 위에서 바다를 바다라보면 그저 평온하고, 아름답고, 고요하다. 우리는 바다와 같은 '삶'에 배를 띄우고 그 파도에 휩쓸려 두려움과 공포에 사로잡혀 살고 있다. 하나님은 말씀으로 바다를 잠잠케 하시는 분이다. 큰 파도가 몰아칠때, 배 위의 사람은 두려워하지만, 서핑을 타는 사람은 그 파도를 즐긴다. 그리고 산위의 사람은 그것을 감상한다. 영적인 눈을 뜨고, 주님의 그 높은 곳까지 올라 주짐과 동행하며 저 바다를 바라보자. 세상은 그분이 통치히신다. </t>
  </si>
  <si>
    <t xml:space="preserve"> - 오늘도 즐겁고 기대되는 하루가 될수 있어 감사합니다. 
 - 광야의 삶을 통해 하나님에 대한 믿음과 신뢰를 더욱 굳건히 해주심에 감사합니다. 
 - 세상의 파도는 끊임이 없습니다.파도가 멈추기를 바라지 않고 오히려 그 파도를 
   두려워하지 않는 용기를 주심에 감사합니다. 
 - 하남매가 믿음의 공동체 안에서 좋은 친구들과 교제하며 성장하게 하시니 감사합니다.
 - 출근할때, 귀가할때 하남매가 따뜻하게 안아주고 입맞춤 해주어 감사합니다. 
 - 한동안 낙담하고 의욕을 잃었던 업무에 다시 열정을 주심에 감사합니다.
 - 나를 통제하려는 자의 의도를 파악하고 단호하게 맞서 흔들리지 않게 하심에 감사합니다.
 - 내 삶의 중심에 찬양과 말씀과 기도가 있기를 기도합니다.
 - 골프에 대한 비전을 주시고, 스윙의 새로운 경지를 맛보게 하시니 감사합니다.
 - 선한 사람들과의 친밀한 교제를 통해 성장하고 발전해가게 해주셔서 감사합니다.
 - 오늘도 최선을 다해서 하루를 보내도록 하겠습니다. 감사합니다. 고맙습니다.</t>
  </si>
  <si>
    <t>■ Footprints in Books_Chapter6. 있어보이지만 위험한 격언들
- 투자의 거인들의 명언이 상충되는 것은 자연스러운 현상이다. 워렌 버핏과 조지 소로스 같은 거장들도 서로 다른 철학을 가지고 있기 때문이다.
첫번째로, 투자자로서 명언을 받아들일 때는 먼저 그 명언이 나온 역사적 맥락과 시장 상황을 이해해야 한다. 같은 원칙도 시대와 시장 환경에 따라 적용 방식이 달라진다. 예를 들어 저금리 시대의 전략과 고금리 시대의 전략은 당연히 다르다. 
두 번째로 명언의 핵심 원리를 파악하되, 맹목적으로 추종하지 않는 태도가 중요하다. 명언들 뒤에 있는 기본 철학—위험 관리, 감정 조절, 장기 관점—을 우선시하고, 구체적인 전략은 자신의 상황에 맞게 변형하라. 
셋째, 자신의 투자 원칙을 먼저 정립하는 것이 필수다. 어떤 명언을 받아들일지는 당신의 성향, 자본, 투자 기간 등에 따라 결정되어야 한다. 결국 명언은 나침반이지 지도가 아니다. 투자의 거인들을 존경하되, 당신의 판단과 책임 아래에서 선택적으로 활용하는 성숙한 태도가 진정한 투자 지혜다.</t>
  </si>
  <si>
    <t>오늘 투자 관점에서 정리한 방향은 명확하다.
첫째, 에너지와 방산은 여전히 유효하다. 전쟁이 완전히 끝나지 않는 이상 유가와 군비 수요는 쉽게 꺾이지 않는다. 단기 테마가 아니라 중기 트렌드로 보고 접근해야 한다.
둘째, AI와 반도체는 조정이 와도 핵심 축이다. 지금의 변동성은 하락이 아니라 “중간 숨 고르기”로 판단한다. 오히려 분할 매수 기회로 보는 것이 맞다.</t>
  </si>
  <si>
    <t>【The FIVE】#151-078</t>
  </si>
  <si>
    <t>원칙을 지키자
종목과 사랑에 빠지지 말자
잡초를 키우지 말자
아무리 좋은 종목조
나에게 마이너스라면
그것은 잡초일 뿐이다.</t>
  </si>
  <si>
    <t>[Q.T묵상] 시편 94:1~23</t>
  </si>
  <si>
    <t>■ 모든 것을 보시고, 들으시는 하나님 앞에서 나는 어떤 생각을 가져야 할까?
- 악행을 저지르면서도 그것을 자신의 자랑을 삼는 사람은 모든 것을 감찰하시는 하나님, 모든 만물을 운행하시는 하나님이 계시다는 것을 인정하지 않는다. 그들은 자신의 부와 권력이 자신의 모든 악행에 당위성을 제공할 것이라고 생각한다. 하지만, 하나님은 살아계시며 역사하신다. 악인의 악을 용납하지 않으시며, 의인들의 고통을 외면하지 않으신다. 모든것을 감찰하시는 하나님이 언제나 나와 함께 계심을 명심하고 삶으로 드려지는 '예배의 삶'을 살아야겠다. 
■ 하나님의 훈계로부터 내가 배운 것은 무엇인가?
- 하나님의 법도와 훈계를 받는 사람은 복이 있다. 훈계는 부모님이 자녀에게 줄수 있는 사랑의 표현이다. 그 훈계를 받고, 말씀대로 사는 사람은 하나님의 보호와 인도하심을 느낄수 있다. 하나님의 훈계까 곧 '말씀'이며 '말씀'이 곧 하나님이시다. 말씀을 주신 하나님께 감사와 찬양을 드립니다. 내 삶이 찬야이 되고, 내 삶이 하나님 말씀의 증거가 되고, 내가 주님의 증인으로 살기를 원합니다.</t>
  </si>
  <si>
    <t xml:space="preserve"> - 오늘도 즐겁고 기대되는 하루가 될수 있어 감사합니다. 
 - 피곤한 가운데에도 기쁨으로 새벽기도 싱어로 섬길고자하는 마음과 열정을 주심에 감사.
 - 어제 멘토와의 교제를 통해 과거, 현재, 미래에 대해 깊은 나눔에 감사합니다.
 - 지난 한달간, 회사의 큰 회의 준비로 바쁜 시간을 보냈는데, 회의가 잘 끝나고 다시 
   정상적인 삶으로, Q.T와 더 파이브를 할수 있게 되어 감사합니다.
 - 바쁜 기간동안 주식 시장이 안정을 되찾고 수익률이 회복되게 하심에 감사합니다.
 - 하음이가 우리 가정 형편에 대해 걱정하는 예쁜 마음을 주심에 감사합니다. 하지만, 
   하음이 나이에 맞지 않는 조숙한 마음보다는, 그 나이에 누려야할 자유로움과 아이다움
   을 주시길 기도합니다. 
 - 투자와 골프, 독서와 운동을 인생의 동반자로 주시고, '섬기는 자'의 비전을 주심에 감사.
 - 오늘도 최선을 다해서 하루를 보내도록 하겠습니다. 감사합니다. 고맙습니다.</t>
  </si>
  <si>
    <t xml:space="preserve">■ Footprints in Books                                                                      
- </t>
  </si>
  <si>
    <t>- 멘토와의 티타임을 통해 나의 보유주식을 점검함.
- 테슬라가 현재 -17%임에도 별도의 조치를 취하지 
  않는 것에 문제가 있음을 확인함.
- 종목과 사랑에 빠지지 말자. 아무리 좋은 종목도 
  나에게 마이너스라면 잡초다. 
- 잡초는 빨리 뽑아야 한다. 테슬라 주식을 매일 1주씩
  매도하고 상승 주식에 재투자 하자. 
- 원칙을 반드시 지키자!</t>
  </si>
  <si>
    <t>【The FIVE】#152-079</t>
  </si>
  <si>
    <t>에이전트 AI시대를
지금부터 준비하자</t>
  </si>
  <si>
    <t>[Q.T묵상] 시편 95:1~11</t>
  </si>
  <si>
    <t>■ 내가 하나님을 찬양하고 경배할 이유는 무엇인가?
- 하나님은 만물의 창조주 이시며, 한사람 한사람을 인격적으로 사랑하시는 분이다. 그분은 온 우주를 창조하신 뒤, 인간에게 정복하고 다스리고 충만하라고 하신다. 우리를 하나님의 '노예'로 만든 것이 아니라, 유산을 물려줄 '자녀'로 만든 것이다. 저 넓은 바다와 높은 산은 우리를 압도하지만, 하나님은 그것들을 우리의 소유로 주시며, 다스릴 권세까지 주신다. 나의 아버지 되신 하나님을 찬양하고 경배합니다.
■ 나는 하나님의 말씀을 들을 때 어떤 마음으로 들어야 하는가?
- 과거, 이스라엘 조상들은 광야에서 안식의 땅으로 들어가지 못했다. 바로 완고한 마음 때문이다. 완고함은 자기교만에서 시작된다. 내가 옳고, 내가 할 수 있고, 내가 모든 것을 이루었다는 생각은 그 마음을 높게하여 하나님께 대적하고, 하나님을 인정하지 않게 된다. 주님, 언제나 영의 눈을 뜨고 분별하여, 내 자신이 스스로 높아지지 않도록 하시고, 주님앞에 겸손한 마음으로 은혜와 사랑을 누리게 하소서. 아멘.</t>
  </si>
  <si>
    <t xml:space="preserve"> 1. 오늘도 즐겁고 기대되는 하루가 될수 있어 감사합니다. 
 2. 어제 순모임에서 맛있는 음식을 누나며 김진경 전도사님 초빙하여 함께 교제함에 감사.
 3. 매일 매일의 Q.T와 더파이브의 기쁨을 누리게 하심에 감사합니다.
 4. 골프와 독서, 금융과 운동의 기쁨을 매일 누리게 하시니 감사합니다.
 5. 건강을 좀더 생각하며 수면시간, 식사 습관에 대한집중 관리가 필요합니다.
 6. 이대근 집사님 건강검진 및 용종제거수술 잘 되어서 건강 회복될수 있기를 기도합니다.
 7. 오늘 오후 뭉클모임 통해서 골프 교제가 더욱 깊어지고 실력도 향상되길 기도합니다.
 8. 하남매 합창이 늦게까지 진행되는데, 저와 미향이 둘만의 소중한 시간 가질 수 있길.
 9. 하님이가, 온유를 생각하는 마음이 각별합니다. 온유를 만나게 하심에 감사합니다.
10. 오늘도 최선을 다해서 하루를 보내도록 하겠습니다. 감사합니다. 고맙습니다.</t>
  </si>
  <si>
    <t>■ Footprints in Books_Chapter.7_가격이란 무엇인가.
- 가치는 ‘주관적인 환상’이고, 가격은 ‘합의된 환상'
  각자가 생각하는 주관적인 환상들 사이에 가끔 접점이 생기고, 그때 거래가 성사된다. 
  따라서, 가격을 전망해야 할 때, 가격이 명확한 객관적 가치를 반영한다는 가정은 틀릴 가능성이 크다. 객관적인 가치란 존재하지 않는다. 가격은 가치에 대한 각자의 주장이 만나서 이루어지는 ‘합의된 환상’이므로, 객관적인 가치를 계산해내려고 시도하기보다는 이 시장에 참여하는 사람들이 누구이며, 각각의 참여자들은 어떤 가격대를 불편해하고 어떤 가격대를 편안해할 것인가로 나누어서 대답을 구해보는 것이 가격의 흐름을 이해하는 데 훨씬 유익하다.</t>
  </si>
  <si>
    <t>- 주목할 섹터를 찾는 것은 그 섹턱의 성장성, 기울기, 시장에너지 집중도, 기회 비용 등을 통해 움직임이 있을 가능성을 찾는 것이다. 산업 자체의 장점이 아니라 주식투자 수익의 가능성을 봐야 하는 것이다.
- AI 섹터: 삼성전자, SK하이닉스
- 한국방산: 한화에어로스페이스, LIG넥스원, 현대로템 
- 오래 투자하기 위해서 즐거움이 있어야 한다
- 주식은 단거리 달리기가 아닙니다, 마라톤입니다 
- 투자에서 중요한 것은 시간입니다.</t>
  </si>
  <si>
    <t>【The FIVE】#153-080</t>
  </si>
  <si>
    <t>[Q.T묵상] 시편 96:1~13</t>
  </si>
  <si>
    <t>■ 모든 신보다 위대하신 하나님을 나는 어떻게 예배하고 있는가?
- 인간에게 가장 위대하 우상은 '돈'이다. '돈'은 우리 인간이 '무엇이든 할 수 있게 하는 권세'로 여기진다. 실제 많은 부분에서 강력하게 그 힘을 발휘한다. '돈'은 눈에 보이고, 실제적이고, 물리력과 눈에 보이지 않는 영향력마저 가지고 있다. 하지만, 이것은 인간이 영원한 삶을 살수 있다는 '착각'과 '지금 이순간이 영원할 것'이라는 우둔한 생각때문이며, 이 모든것이 바로 사탄이 계략이다. 영원한 것은 하나님 한분이시며, 세상의 모든 권세와 능력도 하나님이 부여하셨다. 사탄의 계략을 포함한 모든 세상의 역사를 하나님께서 주관하신다. 그리고, 그 역사의 흐름 가운데, '한 사람'을 찾고 계신다. 노아, 아브라한, 요셉, 모세, 다니엘, 느헤미아, 다윗..... 역사 속에서 세상의 유혹과 권세를 뿌리치고 하나님께 헌신된 이 한사람이 하나님께 돌아서고 예배할 때, 하나님은 그를 통해 노아의 홍수를 일으키시고, 홍해바다를 가르시고, 사막에 강을 내신다. 세상의 모든 것은 피조된 것들이며, 주님만이 창조주 이십니다. 주님께 찬송과 영광과 감사와 찬양을 드립니다. 아멘.</t>
  </si>
  <si>
    <t xml:space="preserve"> 1. 오늘도 즐겁고 기대되는 하루가 될수 있어 감사합니다. 
 2. 아침에 일어나 가장 먼저 하나님 말씀과 감사와 기도 노트를 정리할수 있어 감사합니다.
 3. 하민이와 Zero To One, One to N 개념에 대해 함께 생각을 나누게 되어 감사합니다.
 4. 골프를 통해 다시한번 겸손을 배우게 하시니 감사합니다. 
 5. 건강을 지켜주심에 감사합니다. 매일 매일을 주님안에서 정결한 삶을 갈기 원합니다.
 6. 교회가 부지를 찾고, 첫 예배를 드릴수 있음에 감사합니다. 
 7. 저의 붕 뜬 마음을 가라 앉히고, 두 발은 땅에, 나의 시선을 주님의 비전을 향합니다. 
 8. 식습관을 철저히 관리하고, 탄수화물과 달달한 것에 통제력을 갖기 원합니다.
 9. 업무에 탁월한 수준까지 성장하기 원합니다. 
10. 오늘도 최선을 다해서 하루를 보내도록 하겠습니다. 감사합니다. 고맙습니다.</t>
  </si>
  <si>
    <t>■ Footprints in Books_Chapter.
-</t>
  </si>
  <si>
    <t>취침 - 22:30
기상 - 05:30</t>
  </si>
  <si>
    <t>【The FIVE】#154-081</t>
  </si>
  <si>
    <t>나를 아끼고 사랑하자</t>
  </si>
  <si>
    <t>[Q.T묵상] 시편 97:1~12</t>
  </si>
  <si>
    <t xml:space="preserve">■ 여호와를 사랑하는 사람들은 악을 미워하라. 그분이 성도들의 영혼을 보호하시고 악인들의 손에서 건져
    주신다. 의인들 위에는 빛이 심기고 마음이 정직한 사람에게는 기쁨이 있다. 너희 의인들아, 여호와를
    즐거워하고 그 거룩한 이름을 기억하며 감사를 드리라. (시 97:10~12)
- 거룩한 하나님은 우리에게 거룩한 삶을 요구하신다. 악과 불의는 하나님의 거룩한 성품과 충돌한다. 마음에 악과 불의가 가득한 사람은 결국 하나님을 대적하게 된다. 반면, 말씀과 성령으로 사는 사람은 악과 불의를 멀리한다. 거룩함을 추구하는 사람에게 하나님은 악의 유혹과 악인의 횡포에서 건져 주시는 은혜를 베푸신다. 종말의 때는 악이 기승을 부리는 시대이다. 선한 일에는 능숙하고 악한 일에는 서툰 사람이 되자. </t>
  </si>
  <si>
    <t xml:space="preserve"> 1. 오늘도 즐겁고 기대되는 하루가 될수 있어 감사합니다. 
 2. 일찍 일어나 Q.T와 더파이브를 할 수 있게 해주심에 감사합니다.
 3. 마음속 우울감과 무력감이 저를 괴롭혔지만, 빛과 기쁨의 주의 말씀으로 힘을 얻습니다. 
 4. 하루를 마무리하는 잠자리에서, 하남매와 서로를 축복하며 기도할수 있어 감사합니다.
 5. 마음이 힘들때 운동을 통해 집중력을 다시 갖게 하시니 감사합니다.
 6. 나의 어두움과는 관계없이, 집을 밝게 빛나게 하는 미향이와 하남매가 있어 감사합니다.
 7. 산적한 업무들을 빠르고 신속하게 처리하기를 원합니다. 
 8. 나의 영혼을 파괴하고 자존감을 갉아먹는 악인의 말로부터 저를 보호해주세요.
 9. 주님의 보호하심 속에서 평강과 화평을 누리며, 의미있는 일에 최선을 다하기 원합니다.
10. 오늘도 최선을 다해서 하루를 보내도록 하겠습니다. 감사합니다. 고맙습니다.</t>
  </si>
  <si>
    <t>■ Footprints in Books_Chapter.
- 남보다 나은 성과를 내기 위해서는 다음 질문에 대답할 수 있어야 한다. 
     • 내 생각과 남들의 생각은 무엇이 다른가?
     • 그 차이는 언제, 어떻게 메꿔지는가?
     • 내가 틀렸음을 언제, 어떻게 알 수 있는가?
     • 내가 틀렸을 때 무엇을 배울 수 있는가?
- 투자 원칙에는 정답이 없다. 계속 시도하고, 틀릴 때마다 뚝딱뚝딱 개선하는 피드백 고리를 순환시키는 과정 자체가 유일하게 
  제시할 수 있는 ‘올바른 원칙’이다.</t>
  </si>
  <si>
    <t>오늘의 시장은 전쟁, 원자재, AI로 정의된다. 중동 긴장이 원자재 가격에 반영되며 인플레이션 압력이 부활하고, 에너지 기업은 안정적 현금흐름 자산으로 평가받는다. 전쟁 장기화로 방산 산업에 자금이 집중된다. 불안 속에서도 AI는 흔들리지 않으며 국가 경쟁력의 핵심이 되고 있다. 국내에서도 SK하이닉스, 삼성전자, 삼성전기가 AI 시대의 중심축을 형성한다.</t>
  </si>
  <si>
    <t>취침 - 23:00
기상 - 05:00</t>
    <phoneticPr fontId="2" type="noConversion"/>
  </si>
  <si>
    <t>【The FIVE】#155-082</t>
    <phoneticPr fontId="2" type="noConversion"/>
  </si>
  <si>
    <t>최대 수익 경신
땡큐 '더파이브'!</t>
  </si>
  <si>
    <t>[Q.T묵상] 시편 98:1~9</t>
    <phoneticPr fontId="2" type="noConversion"/>
  </si>
  <si>
    <t>■ 여호와께 새 노래로 노래하라. 하나님이 놀라운 일들을 행하셨다. 그 오른손과 그 거룩한 팔로 승리를 이루셨다. (시 98:1)
- 하나님을 찬양합니다. 하나님께서 저를 베이징으로 보내시고, 이 곳에서 제 마음속의 완고함을 허물고, 광야와 같은 삶을 통해 오직 주님의 긍휼과 은혜에 의지하여 하루하루 살게하셨습니다. 하루하루가 위태롭고 고통스러우나, 그럴 때마다 주님이 옆에서 위로하시고, 격려하시고, 힘을 주십니다. 긍휼로 저를 보호하시고, 사랑으로 저를 받아주십니다. 세사은 나를 실패자로 낙인찍고 수근수근 하지만, 나의 창조주 하나님은 나를 보며 참 귀하다, 사랑한다. 너는 내 아들이다 라고 속삭여주십니다. 그러므로, 무화가 나무잎이 마르고, 포도열매가 없으며, 논밭에 식물이 없고, 외양간 송아지가 없어도 오로지 주님과 동행하는 삶, 구원의 은혜 하나로도 저는 감사와 찬양을 하나님께 드립니다. 주님, 광야에서만 주님을 만날 수 있다면 제 인생은 광야에 머물겠습니다. 제 인생에 감사와 찬양이 넘치기를 기도합니다. 아멘.</t>
    <phoneticPr fontId="2" type="noConversion"/>
  </si>
  <si>
    <t xml:space="preserve"> 1. 오늘도 즐겁고 기대되는 하루가 될수 있어 감사합니다. 
 2. 하남매가 합창단원으로 오늘 푸저우에 가서 월요일에 돌아옵니다. 여정가운데 하나님께서 함께해 주시고, 과정마다 하나님께서 준비해주신 기적들을 경험하게 하옵소서.
 3. 직장 상사와의 갈등으로 마음과 영혼이 상처를 받습니다. 업무를 진행하기 힘들만큼 어려움이 있습니다. 주짐, 회복하게 하시고, 주어진 업무를 완수하게 하옵소서. 
 4. 미향이를 통해 언제나 격려해주시고, 사랑해주시고, 인정해주시니 감사합니다.
 5. 매일 아침 Q.T 묵상을 통해 주님을 만나고, 주님을 의지하며 하루하루 살게하심에 감사.
 6. 북경에서 소중한 분들을 만나고, 서로 교제하며 삶을 나누고 신뢰로 엮어주심에 감사. 
 7. 기쁨의 원천이자 소망인 우리 가정을 주심에 감사합니다. 
 8. 오늘도 최선을 다해서 하루를 보내도록 하겠습니다. 감사합니다. 고맙습니다.</t>
    <phoneticPr fontId="2" type="noConversion"/>
  </si>
  <si>
    <t>주식하는 마음(홍진채)</t>
    <phoneticPr fontId="2" type="noConversion"/>
  </si>
  <si>
    <t xml:space="preserve">■ Footprints in Books_'투자 입문 이래 최대 수익 달성 기념'
- 오늘 최대 수익을 경신했다. 적은 금액으로 시작하여, 투자에 들어갈수 있는 최대치의 투자금을 투입하기까지 많은 우여곡절을 겪었고, 투자금이 MAX로 투입된 후에는 '진짜 투자 인생'의 쓴맛을 볼수 있었다. '미-이란 전쟁'으로 인한 하락장은 공포 그 자체였다. 시장변화에 대응할 수 있는 자금이 없다는 것은, 그저 속수무책으로 지켜볼수 밖에 없다는 뜻이었고, 그로 인한 무력감, 상실감은 직접 경험해보지 못한 이들에게는 설명할 방법이 없다. '피같은 돈'이 눈앞에서 사라지는 모습을 지켜보는 것은 마치 자녀가 죽을 병에 걸렸는데, 치료할 돈도 방법도 없는 듯한 고통이었다. 하지만, 그 것도 곧 지나갔다. 그리고 오늘 투자 입문 이래 최대 수익을 달성했다. 주식시장은 언제나 기회를 준다는 것을 배웠다. 그리고 그 기회는 준비된 사람들에게만 온다는 것도! '독서로 지식을 쌓고, 실전 투자로 배운 바를 적용하며 머릿속 이론을 마음으로 옮기는 작업이 중요함을 깨닫는다. 투자는 이것만 하자. 목숨걸고 독서하고, 끊임없이 실천하자. 더 단순하게..... 목숨걸고 '더파이브'를 사수하자. '더파이브'에 모든 답이 있다. </t>
    <phoneticPr fontId="2" type="noConversion"/>
  </si>
  <si>
    <t>주식 투자는 기업의 미래에 투자하는 것이다. 국내보다 우량 종목이 많은 해외 시장의 메가 트렌드에 주목해야 한다. 
경제적 해자를 갖춘 기업을 발굴해 거액을 장기 투자함으로써 높은 수익률을 확보하는 것이 부의 열쇠이다.
필립 피셔의 조언처럼 넓은 시장과 독점적 경쟁력을 가진 종목을 선택해 시대의 흐름에 올라타는 것이 중요하다.</t>
  </si>
  <si>
    <t>취침 - 22:30
기상 - 05:00</t>
    <phoneticPr fontId="2" type="noConversion"/>
  </si>
  <si>
    <t>【The FIVE】#156-083</t>
    <phoneticPr fontId="2" type="noConversion"/>
  </si>
  <si>
    <t>나만의 예측 모델을
만들어 가자</t>
  </si>
  <si>
    <t>[Q.T묵상] 시편 99:1~9</t>
    <phoneticPr fontId="2" type="noConversion"/>
  </si>
  <si>
    <t>■ 그 이름은 거룩하시다.(3절), 그분은 거룩하시다(5절), 여호와 우리 하나님은 거룩하시도다(9절)
- 하나님은 거룩한 분이시다. '거룩'은 '분리된, 구별된'이라는 의미다. 하나님이 거룩하신 분이므로 자녀된 우리도 거룩한 삶을 살아야 한다. 무엇이 거룩한 삶인가. 세상과 구별된 삶. 세상이 추구하는 가치와 구별된 하나님의 가치를 추구하는 삶이다. 
- 세상은 '자기 증명'을 목표로 움직인다. 부와 명예와 권세를 성취함으로 '자기 존재에 대한 증명'을 추구하고, 이를 통해 성공의 여부를 판단한다. 예수님은 십자가에서 '자기 증명'이 아닌 '자기 부인'을 택하셨다. 세상의 모든 권세를 가지셨음에도, 십자가의 고통과 사람들의 조롱을 받으면서도, 하나님의 아들로서 가진 권세를 통해 '자기 증명'을 하지 않고, '자기 부인'을 통해 온 인류의 죄를 담당하셨다. 이것이 바로 하나님의 가치를 추구하는 삶이며, 제자의 삶을 살고자 하는 나에게 오늘 하나님께서 주시는 가치이다. 주님, 제 안에 나를 드러내고자 하는 '자기 증명'의 욕구를 통제하고, '자기 부인'을 길을 걸으며 주님과 동행하게 하옵소서. 아멘.</t>
    <phoneticPr fontId="2" type="noConversion"/>
  </si>
  <si>
    <t xml:space="preserve"> 1. 오늘도 즐겁고 기대되는 하루가 될수 있어 감사합니다. 
 2. 하남매가 푸저우에 무사히 도착해서 행복한 시간을 보내게 해주심에 감사합니다. 
 3. 미향이와 단둘이 있는 저녁시간에 평소보다 더많은 대화를 나눌 수 있어 감사합니다. 
 4. 문프로님과 스크린 교제를 통해 삶을 나누고 골프에 대한 열정도 불태우게하심에 감사
 5. 문프로님, 멘토님, 뭉클, 더불어OO, 위디순, 주품에 순, 양회.. 북경의 소중한 인연에 감사
 6. 신부장님께 예배 회복을 강권하였습니다. 주님께서 그 마음을 움직여주세요.
 7. 광야의 삶 속에서 저에게 힘든 환경을 불평하게 됩니다. 사람을 원망하게 됩니다. 
    주님, 원망과 불평은 주님앞에 내려두고, 저로 구별된 삶, 자기부인의 삶, 작은 예수로서
    의 제자의 삶을 살게 하옵소서. 성령님께서 내 안에 충만히 거하여 주옵소서.
 8. 오늘도 최선을 다해서 하루를 보내도록 하겠습니다. 감사합니다. 고맙습니다.</t>
    <phoneticPr fontId="2" type="noConversion"/>
  </si>
  <si>
    <t>■ Footprints in Books_Chapter.
- 주식시장에 진정으로 전문가는 없다. 펀드매니저의 과반은 시장을 못 이기고, 이코노미스트는 경제 전망을 항상 틀린다. 애널리스트는 ‘주가를 맞히는 사람’이라고 많이들 알고 있지만, 애초에 그분들의 역량은 주가를 맞히는 게 아니라 기업의 펀더멘털을 분석하고 이해하는 데 도움을 주는 것이다. 예측은 각자가 하는 것이다. 다른 모든 사람의 수많은 예측은 그저 참고 자료일 뿐이다. 그들의 ‘예측’을 따라갈 게 아니라, 예측의 ‘근거’를 검토하고 자신만의 예측을 해야 한다. 어차피 예측은 틀린다. 자신만의 예측이 있어야 틀린 다음에 배울 점이 생긴다.</t>
    <phoneticPr fontId="2" type="noConversion"/>
  </si>
  <si>
    <t>- 경제적 해자의 4가지 종류 
1) 무형 자산 : 기업이 가진 자산은 눈에 보이는 유형자산과 그렇지 
    않은 무형 자산으로 나눌 수 있다 (정부의 인허가나 특허, 브랜드) 
2) 경제적 해자(전환 비용) : 소비자가 경쟁사로 이동하는 데 유, 
   무형의 비용이 발생해 해당 기업의 고객으로 머무르게 만드는 경우
    (엔비디아 쿠다, 마이크로소프트 엑셀)
3) 네트워크 효과 : 제품 또는 서비스의 이용자가 늘면 늘수록 그 제품
    과 서비스의 가치가 증가하는 것을 의미한다 
4) 원가 우위 : 제품이나 생산함에 있어 소요되는 비용이 구조적으로
   작다면 외부환경 변화나 경쟁사의 침에도 수익성을 유지할 수 있다</t>
  </si>
  <si>
    <t>【The FIVE】#157-084</t>
    <phoneticPr fontId="2" type="noConversion"/>
  </si>
  <si>
    <t xml:space="preserve">진정한 실력이란
운이 좋아지게 만드는
것이 아니라
운이 상쇄되는 구조를
만들어 내는 것이다. </t>
  </si>
  <si>
    <t>[Q.T묵상] 시편 100:1~5</t>
    <phoneticPr fontId="2" type="noConversion"/>
  </si>
  <si>
    <t>■ 그분이 우리를 만드셨으니, 우리는 그분의 백성들이고 그 목장의 양들이다 (3절)
    여호와는 선하시니 그 인자하심이 영원하고 주의 진리가 온 세대에 걸쳐 지속될 것이다 (5절)
- 나는 하나님의 걸작품이며, 하나님의 자녀이다. 내게 하남매가 생명보다 귀한 것 처럼, 하나님의 자녀인 나는 하나님이 생명보다 더 귀하게 여기신다. 나는 부족한 부모임에도 자녀에 대한 사랑이 차고 넘치는데, 완전하신 하나님은 그 자녀에 대한 사랑이 무궁하시다. 하나님은 선하시고, 인자하심이 영원하다. 하남매가 내 품에 안겨 평안히 잠들고, 즐겁게 놀고, 행복한 교제를 나누고, 학교와 교회에서 친구들과 신나게 뛰어노는 것처럼, 나도 아바 아버지 되신 하나님 품에 안겨 평안히 잠들고, 즐겁게 놀고, 행복한 교제를 나누고 나의 삶의 영역에서 신나게 뛰어놀 것이다. 
- 감사와 찬양을 아바 아버지, 나의 하나님께 올려드립니다. 부고하고 연약한 자녀를 더욱 사랑하시고 보호하시고, 그 강한 오른팔로 보호하시고 인도하심에 감사와 찬양과 영광을 올려드립니다.아멘.</t>
    <phoneticPr fontId="2" type="noConversion"/>
  </si>
  <si>
    <t xml:space="preserve"> 1. 오늘도 즐겁고 기대되는 하루가 될수 있어 감사합니다. 
 2. 하남매가 푸저우에서 사고 없이 즐겁고 행복한 시간 보내게 해주심에 감사.
 3. 세상에 당연한 것은 하나도 없습니다. 지나온 삶도 모두 은혜였고, 오늘 누리는 일상도
    감사할 뿐입니다. 숨 쉬는 것, 밥 먹는 것, 찬양하는 것, 크시 ㄴ하나님이 내 아버지가 되
    어 주신 은혜에 가격하고 감사합니다.
 4. 하나님, 저는 하나님이 부어주시는 그 창의력이 아니면 아무것도 할수가 없는 존재임을
    다시한번 깨닫습니다. 주님, 갑절의 영감을 부어주시고, 주님의 일에도, 세상일에도 주의
    탁월함을 나타내게 하옵소서. 성령충만으로 세상을 압도하게 하시고, 정복하고 다스리라
    하신 사명을 담대히 선포하며 나아가게 하옵소서.
 5. 오늘도 최선을 다해서 하루를 보내도록 하겠습니다. 감사합니다. 고맙습니다.</t>
    <phoneticPr fontId="2" type="noConversion"/>
  </si>
  <si>
    <t xml:space="preserve">■ Footprints in Books
- ‘운이 크게 영향을 미치는 영역에서 실력이란 무엇인가?’  확률분포는 가상의 분포, 즉 일어나지 않은 미래에 대한 예측이다. 아무리 확률이 유리해도 한 번의 시행, 즉 ‘단일시행’에서는 손해를 볼 수 있다. 다수시행을 할 수 있는 구조여야 확률분포대로의 결과를 내 손에 쥘 가능성이 커진다. 최악의 경우가 발생했을 때 '다시는 게임에 참여할 수 없을 정도의 타격을 입는다면’ 그 게임에는 참여하지 말아야 한다. 이런 영역에서의 실력은 확률분포를 추론할 수 있느냐, 베팅 금액을 유연하게 조정하여 다수시행을 통해 확률분포대로의 기댓값을 실제 결괏값으로 끌어낼 수 있느냐에 달려 있다. 주식에서는 모든 단일시행에서 무작위성이 작동한다. 즉 결과값이 언제나 운이 좋거나 나쁘거나에 영향을 받는다. 운은 여러 번의 시행으로 상쇄되어 사라진다. 여기서 실력이란, 운이 좋아지게 하려는 시도가 아니라 운이 상쇄되는 구조를 짜는 일이다. 주사위를 던지기 전에 이미 실력은 결정되어 있다. 내가 확률분포를 추론하고 리스크관리를 할 수 있는 상태에서 주사위를 던진다면, 나는 실력이 있는 사람이고, 확률분포를 고민하지도 않고 리스크도 고려하지 않은 채 무작정 주사위를 던지는 사람은, 이미 실력이 없는 사람이다. </t>
    <phoneticPr fontId="2" type="noConversion"/>
  </si>
  <si>
    <t>■ 성공을 이루는 데 있어서 롤 모델 역할은 중요하다, 그런데 두 가지 간과해서는 안 될 것이 있다
1) 누구도 특정 롤모델의 삶을 똑같이 복사할 수 없다.
2) 성공한 롤모델들 곁에는 늘 코치 또는 멘토가 있다. 
- 멘토는 올바른 방향을 알려줄 수뿐만 아니라 계속적으로 방향을 바로잡아주는 역할을 한다.</t>
    <phoneticPr fontId="2" type="noConversion"/>
  </si>
  <si>
    <t>취침 - 00:00
기상 - 05:40</t>
    <phoneticPr fontId="2" type="noConversion"/>
  </si>
  <si>
    <t>【The FIVE】#158-085</t>
    <phoneticPr fontId="2" type="noConversion"/>
  </si>
  <si>
    <t>바벨 전략 &amp; 안티프레질
끌림이 있는 이론이다
공부하고 인생에 적용해보자</t>
  </si>
  <si>
    <t>[Q.T묵상] 시편 102:1~16</t>
    <phoneticPr fontId="2" type="noConversion"/>
  </si>
  <si>
    <t>- 내 날이 연기 같이 소멸하며 내 뼈가 숯 같이 탔음이니이다
- 내가 음식 먹기도 잊었으므로 내 마음이 풀 같이 시들고 말라 버렸사오며
- 나의 탄식 소리로 말미암아 나의 살이 뼈에 붙었나이다
- 나는 광야의 올빼미 같고 황폐한 곳의 부엉이 같이 되었사오며
- 내가 밤을 새우니 지붕 위의 외로운 참새 같으니이다
- 내 원수들이 종일 나를 비방하며 내게 대항하여 미칠 듯이 날뛰는 자들이 나를 가리켜 맹세하나이다
- 나는 재를 양식 같이 먹으며 나는 눈물 섞인 물을 마셨나이다
▶주님, 시편 기자의 마음이 제 마음 같습니다. 한마디 한마디가 주님께 울부짖는 제 마음입니다. 이 모든 상황들이 나를 향한 주님의 큰 계획 안에 있음을 알지만, 고통과 괴로움은 적응하기가 어렵습니다. 고통스러워하는 자녀를 지켜보며 기다리고 계시는 주님은 저보다 더 고통스럽겠지요. 제가 죄에서 돌이켜 주 앞으로 나아갑니다. 고통의 나날 가운데에서도 주님께서 주시는 평안과 화명을 누리는 믿음의 사람 되게하옵소서. 아멘.</t>
    <phoneticPr fontId="2" type="noConversion"/>
  </si>
  <si>
    <t xml:space="preserve"> 1. 오늘도 즐겁고 기대되는 하루가 될수 있어 감사합니다. 
 2. 어제 문프로님, 교산형님과의 골프 라운딩(태양성)을 통해 그동안 갈고 닦았던 
    골프스윙을 마음껏 뽐내고 즐겁고 행복한 시간을 갖게 해주심에 감사합니다.
 3. 어제 저희 집을 open하고 순모임을 하였는데, 순원들 앞에서 저의 농담이 심해 
    미향이가 마음의 상처를 받았습니다. 앞으로는 농담으로 상쳐주지 않도록 도와주세요.
 4. 오늘 Q.T 말씀을 통해 위로를 주심에 감사합니다. 
 5. 하남매가 푸저우에서 합창단 친구들과 좋은 추억을 만들어가게 하심에 감사합니다.
 6. 준호가 금주 목요일 북경에 옵니다. 오랜만에 마주앉아 이야기나눌 시간이 기대됩니다.
 7. 좀더 철저히 혈당관리 할수 있도록 의지와 지혜를 주세요.
 8. 오늘도 최선을 다해서 하루를 보내도록 하겠습니다. 감사합니다. 고맙습니다.</t>
    <phoneticPr fontId="2" type="noConversion"/>
  </si>
  <si>
    <t>■ Footprints in Books_'주식하는 마음(홍진채)'_완독_독서후기
- '주식하는 마음'은 매우 특별한 책이다. 보통 투자관련 책들은 전쟁을 앞둔 군인들의 가슴에 불을 지르며, 투지를 불태우게하는 느낌이 있지만, '주식하는 마음'은 차분하다. 그리고, 우리가 평소 마음속에 가지고 있는 아주 작은 '불신앙' 에 대해서 과감하게 의문을 제기한다. '불신앙' 이라는 단어를 쓴 것은, 마치 현인들의 말에 대해서 '토를 다는' 느낌이기 때문이다. 투자의 현인이 '이렇다' 라고 하는 말에 누가 감히 '아니다'라고 하겠는가. 그런데 이 책은 할말은 다 하고, 또 그 말에 책임을 진다. 독자를 설득해내는 힘이 있다는 뜻이다. 매우 매우 훌륭한 투자 조언서이므로, 반드시 두번 이상 읽어야 할 책이다.
- 특히, 장에 담은 내용은 투자 뿐만 아니라 '인생'을 관통하는 지혜가 담겨있다. 나도 매우 매우 흥미로워서 관련 서적을 찾아보고 있는 중이다. '바벨 전략 이론'과 '안티프레질'. 짧은 소개지만 매우 매력적이면서도 그럴듯한 개념이다. 빨리 이 내용을 이해하고 내 삶에 적용해보고 싶어진다. 
- '주식하는 마음'을 통해서 가장 크게 배운 것은, '아이디어 소진' 여부가 매도의 기준이 되어야 한다는 것이다. 최근 미-이란 전쟁을 통해 내가 했던 큰 실수에 대한 명쾌한 정답이다. 투자하기 전 해당 영역에 대한 아이디어(투자하는 이유)를 명확히 해야하며, 그 아이디어가 소진되기 전까지는 견지해야한다는 것이 내 투자 인생에 하나의 큰 기둥이 되어줄 것으로 확신힌다.</t>
    <phoneticPr fontId="2" type="noConversion"/>
  </si>
  <si>
    <t>- 종목 선택, 매수 타이밍보다 더 중요한 것은 올바른 투자 습관을 길들이는 것이다. 탐욕과 공포를 이기기 위해 심리적으로 강해야 하며, 꾸준한 독서와 시장 공부를 통해서만이 심력(心力)을 기를 수 있다.
- 주식 투자는 확률 게임이므로, 항상 이길 수 없다는 것을 반드시 인식해야 한다. 즉 실패도 수용할 줄 알아야하며, 언제든 대비가 되어있어야 한다.</t>
  </si>
  <si>
    <t>【The FIVE】#159-086</t>
    <phoneticPr fontId="2" type="noConversion"/>
  </si>
  <si>
    <t>블랙스완은 언제나 존재한다
내가 틀렸을 때를 대비한
생존전략을 반드시
가지고 있어야 한다</t>
    <phoneticPr fontId="2" type="noConversion"/>
  </si>
  <si>
    <t>[Q.T묵상] 시편 102:17~28</t>
    <phoneticPr fontId="2" type="noConversion"/>
  </si>
  <si>
    <t xml:space="preserve">■ 천지는 없어지려니와 주는 영존하시겠고 그것들은 다 옷 같이 낡으리니 의복 같이 바꾸시면 바뀌려니와
    주는 한결같으시고 주의 연대는 무궁하리이다.
- 하나님 외에 영원한 것은 없다. 하나님 외에 누가 한결 같을수 있는가. 영원히 불변하는 가치를 추구하는 것은 인생에서 가장 가치있는 일이다. 인생을 걸로 추구한 것이 마지막에 가서 무가치하게 변하였다면 이 얼마나 허무한 인생인가.  그러므로, 우리 인생들아, 영원하시고, 한결같으신 하나님을 찬양하자. 하나님을 추구하자. 
- 천지를 창조하신 전능의 하나님, 영원하시고, 불변하신 하나님, 한결같으시며 사랑이 넘치시는 하나님. 그분이 나를 사랑하시고, 나의 신음을 들으시고, 나의 기도를 들으신다. 나의 절망을 소망으로, 나의 슬픔을 기쁨으로 바꾸신다. 그러므로, 어려움을 만날때, 하나님께 맡기고 하나님만 의지하자. </t>
    <phoneticPr fontId="2" type="noConversion"/>
  </si>
  <si>
    <t xml:space="preserve"> 1. 오늘도 즐겁고 기대되는 하루가 될수 있어 감사합니다. 
 2. 내가 가진 것으로 선을 배풀었는데, 어제는 그 선행의 씨앗들이 결실을 맺어 한번에
    돌아오는 기적을 경험하였습니다. 댓가를 바라지 않아 더욱 감동을 받은 하루입니다.
 3. 저녁에 미향이와 깊은 대화를 나누고, 서로를 더 깊이 이해할수 있는 소중한 시간을
    갖게되어 감사합니다.
 4. 오늘 윤기웅 대표님이 제주도에서 비행기를 놓쳐 SOS를 요청했는데, 다행히 좌석
    도움을 드릴수 있었습니다. 은혜를 입은 분께 결초보은할수 있는 기회가 되어 감사.
 5. 혈당관리를 잘 해야하는데, 자꾸 달달한 것에 손이 가고, 먹지 말하야 할 것에 마음이
     갑니다. 하나님이 주신 육체를 더욱 강건하게 관리할 수 있도록 의지를 주세요.
 6. 오늘 하남매가 푸저우 합창 공연을 마치고 돌아옵니다. 안전하게 지켜주심에 감사.</t>
    <phoneticPr fontId="2" type="noConversion"/>
  </si>
  <si>
    <t>나심탈레브의 블랙스완/안티프레질(루미너리북스)</t>
    <phoneticPr fontId="2" type="noConversion"/>
  </si>
  <si>
    <t>■ Footprints in Books
-나심 탈레브의 ‘칠면조 이야기’는 99일 동안 정성껏 먹이를 주는 주인을 보며 미래의 안전을 확신하던 칠면조가, 100일째 되는 추수감사절 전날 예기치 못한 죽음을 맞이하는 비극을 다룬다. 이는 과거의 데이터가 미래의 안전을 보장할 것이라고 믿는 귀납적 사고의 치명적인 함정을 날카롭게 경고한다. 
- 투자 원리의 관점에서 볼 때, 이 우화는 '리스크의 비대칭성'을 극명하게 보여준다. 시장이 장기간 안정적으로 상승하면 투자자들은 과거 경험을 근거로 수익을 당연한 미래로 여기며 확신을 키워간다. 하지만 칠면조의 확신이 99.9%에 달했을 때 칼날이 들어왔듯, 시장의 낙관이 정점에 이를 때가 바로 '블랙 스완'과 같은 파괴적 사건에 가장 취약한 순간이다. 결국, 투자의 본질은 과거 패턴을 맹신하는 것이 아니라, 내가 틀렸을 때를 대비한 생존 전략에 있다. 통계적 수치 너머에 숨겨진 치명적 위험을 경계하고 리스크 관리에 집중하는 태도야말로, 시장에서 칠면조와 같은 운명을 피하고 끝까지 살아남는 핵심 원리임을 깊이 깨닫는다.</t>
    <phoneticPr fontId="2" type="noConversion"/>
  </si>
  <si>
    <t>현재 시장의 핵심은 'AI 사이클의 흐름을 깊이 이해하고 동행하는 것' 이다.
엔비디아 등 AI 관련 기업은 이미 현실적인 돈의 흐름으로 자리 잡았으며, 코인 관련주처럼 조정 후 가격 재정렬 구간에 있는 종목을 '주식은 결국 쌀 때 사는 것'이라는 원칙으로 접근하며 흐름에 올라타는 전략이 필요하다.</t>
  </si>
  <si>
    <t>【The FIVE】#160-087</t>
    <phoneticPr fontId="2" type="noConversion"/>
  </si>
  <si>
    <t>안티프레질
(Anti-Fragile)
충격을 받을 수록 강해지는 힘
나에게 가해지는 충격(고난)은
나를 더욱 강하게 한다
(약할때 곧 강함이라)</t>
  </si>
  <si>
    <t>■ (2절)내 영혼아 여호와를 송축하며 그의 모든 은택을 잊지 말지어다
- 하나님께서 베푸신 모든 은혜를 항시 기억하자. 이스라엘 민족은 출애굽 하여 광야의 삶을 사는 동안 불평과 불만으로 점철된 삶을 살았다. 그들은 하나님께서 베푸신 은혜들을 기억하기 보다, 내일을 걱정하며 오늘을 불만으로 보냈다. 어제의 감사는 내일의 확신으로 이어져야 한다. 어제의 감사를 기억하자. 어제 우리와 함께 하셨던 기적의 하나님이 지금, 그리고 내일도 여전히 함께 하실 것이다.</t>
    <phoneticPr fontId="2" type="noConversion"/>
  </si>
  <si>
    <t xml:space="preserve"> 1. 오늘도 즐겁고 기대되는 하루가 될수 있어 감사합니다. 
 2. 하남매가 6일동안 부모 품을 떠나 푸저우 합창대회에 참석하고 어제 복귀하였습니다. 
    안전사고 없이 즐겁고 행복한 추억만 간직할수 있는 시간이 되어 감사합니다.
 3. 하남매가 이번 행사참여를 통해 성장하고 성숙해지는 계기가 되게 하옵소서
 4. 산적한 업무를 처리함에 있어 지혜롭게 하시고, 효율적이게 하옵소서.
 5. 주님께서 주신 모든 은택을 잊지 않고, 날마다 기억함으로 오늘과 내일도 함께하실 
    하나님을 의지하여, 불평이 아닌 감사가 넘치게 하옵소서. 
 7. 오늘도 최선을 다해서 하루를 보내도록 하겠습니다. 감사합니다. 고맙습니다.</t>
    <phoneticPr fontId="2" type="noConversion"/>
  </si>
  <si>
    <t>■ Footprints in Books_Chapter.
-많은 사람들이 더 정확한 예측을 통해 이런 위험을 피하려고 한다. 더 많은 정보를 수집하고, 더 정교한 분석 모델을 만들어서 미래를 예측하려고 한다. 하지만 탈레브는 이런 접근법이 근본적으로 잘못되었다고 말한다. 예측에 의존하는 것이 아니라, 예측 불가능성 자체를 받아들이고 그에 맞는 전략을 세워야 한다는 것이다. 그렇기 때문에 우리는 예측에 목매지 말고, 어떤 상황이 와도 살아남을 수 있는 견고함과, 나아가 위기를 기회로 바꿀 수 있는 안티프래질함을 길러야 합니다. 안티프래질이란 충격을 견뎌내는 것뿐만 아니라 충격을 받을수록 오히려 더 강해지는 특성을 말한다. 마치 근육이 운동으로 인한 스트레스를 받을 때 더 강해지는 것처럼, 변동성과 불확실성을 먹고 자라는 시스템을 만드는 것이다. 생각해보면 자연계에는 이런 안티프래질한 시스템들이 많다. 숲에서 가끔 일어나는 작은 산불은 오히려 숲 전체를 더욱 건강하게 만든다. 오래된 낙엽과 죽은 나무들을 제거하고, 새로운 생명이 자랄 공간을 만들어준다. 인간의 면역 시스템도 적절한 세균과 바이러스에 노출될수록 더 강력한 면역력을 갖게 해준다.</t>
    <phoneticPr fontId="2" type="noConversion"/>
  </si>
  <si>
    <t>주식 투자는 자신의 그릇을 파악하고 올바른 습관을 형성하는 것이 핵심이다. 연평균 10%의 꾸준한 수익은 노후를 보장하며, 탐욕과 공포를 다스리는 심리가 중요합니다. 
투자는 확률 게임이므로 철저한 공부가 필요하며, 실패를 인정하고 장기 보유하는 자세가 필요하다. 특히 상승장의 결정적 순간을 놓치지 않기 위해 매도보다 지속적인 보유가 수익 확률을 높이는 길이다.</t>
  </si>
  <si>
    <t>【The FIVE】#161-088</t>
    <phoneticPr fontId="2" type="noConversion"/>
  </si>
  <si>
    <t>이봐 Charlie Noh!!
너는 칠면조가 되지 마라</t>
    <phoneticPr fontId="2" type="noConversion"/>
  </si>
  <si>
    <t>[Q.T묵상] 시편 103:12~22</t>
    <phoneticPr fontId="2" type="noConversion"/>
  </si>
  <si>
    <t>- 인생은 그 날이 풀과 같으며 그 영화가 들의 꽃과 같도다  그것은 바람이 지나가면 없어지나니 그 있던 자리도 다시 알지 못하거니와 여호와의 인자하심은 자기를 경외하는 자에게 영원부터 영원까지 이르며 그의 의는 자손의 자손에게 이르리니 곧 그의 언약을 지키고 그의 법도를 기억하여 행하는 자에게로다 (15~18)
- 육체는 잠시 있다가 없어지는 존재다. 육체의 기쁨 쫒지 말고 영원하신 하나님과의 교제를 통한 기쁨을 쫒자. 육체의 기쁨은 잠시이나, 곧 후회와 고통뿐이며 하나님과의 교제를 통한 기쁨은 영원하며 후회가 없다. 육신의 정욕, 안목의 정욕, 이생의 자랑... 인가이 벗어나기 어려운 이 세가지 영역의 죄악으로부터 성령께서 지켜주시기를 간절히 기도합니다. 아멘.</t>
    <phoneticPr fontId="2" type="noConversion"/>
  </si>
  <si>
    <t xml:space="preserve"> 1. 오늘도 즐겁고 기대되는 하루가 될수 있어 감사합니다. 
 2. 독서와 배움의 즐거움을 알고 누리게 하시니 감사합니다.
 3. 배움을 통해 확신 가운데 설수 있게 되어 감사합니다.
 4. 만나는 사람마다 비전과 미래와 소망을 나눌 수 있어 감사합니다.
 5. 문프로님과 함께 각자의 목표를 향해 한걸음씩 걸어가며 서로 격려하니 감사합니다.
 6. 멘토를 통해 독서와 투자의 길을 함께 걸어가게 해주심에 감사합니다.
 7. 미래를 준비하는 일에 소홀하지 않고 끝까지 견지할수 있게 해주세요.
 8. 수면시간을 충분히 확보해서 컨디션을 회복할수 있게 해주세요.
 9. 꾸준한 운동을 통해 건강한 영혼을 담을 수 있는 건강한 육체를 만들어가겠습니다. 
10. 오늘도 최선을 다해서 하루를 보내도록 하겠습니다. 감사합니다. 고맙습니다.</t>
    <phoneticPr fontId="2" type="noConversion"/>
  </si>
  <si>
    <t>■ Footprints in Books_Chapter.
- 불확실한 세상에서 생존을 넘어 성장하기 위해서는 안티프래질한 시스템을 구축해야 한다. 이는 충격과 스트레스를 성장의 동력으로 삼아 이전보다 강해지는 것을 의미한다. 핵심 전략은 손실은 제한적이나 수익은 무제한인 볼록성을 추구하여 작게 잃고 크게 얻는 구조를 만드는 것이다.
또한 성공 사례만 보고 판단하는 생존자 편향의 함정을 경계해야 한다. 전쟁에서 생존해 돌아온 비행기가 아닌, 추락한 비행기의 흔적에서 치명적 부위를 찾아낸 것처럼 눈에 보이지 않는 실패 사례를 적극적으로 탐색해야 한다. 99일간 안전했던 칠면조가 100일째 도축되듯 과거 데이터에만 의존하는 것은 위험하다. 따라서 정보의 의도를 파악하고 예외 상황에 대비하는 겸손한 태도가 불확실한 미래를 이겨낼 진정한 무기가 된다.</t>
    <phoneticPr fontId="2" type="noConversion"/>
  </si>
  <si>
    <t>주식 투자의 핵심은 철저한 공부를 통한 확신과 장기적인 인내이다. 단기 변동에 흔들리지 않고 스스로 선택한 유망 종목을 끝까지 보유하는 능력이 부를 결정한다.
워런 버핏이 강조했듯 투자는 인내심 없는 자의 돈이 인내심 있는 자에게 옮겨지는 과정이며, 어떤 악재에도 버틸 수 있는 인내심이 성공의 필수 조건이다.</t>
    <phoneticPr fontId="2" type="noConversion"/>
  </si>
  <si>
    <t>【The FIVE】#162-089</t>
    <phoneticPr fontId="2" type="noConversion"/>
  </si>
  <si>
    <t>시간은 결국 가짜를 걸러내고
진짜 가치를 남기는
가장 정직한 심판이다
꾸준함은 '복리'의 마법으로
우리에게 보상해준다</t>
    <phoneticPr fontId="2" type="noConversion"/>
  </si>
  <si>
    <t>[Q.T묵상] 시편 104 : 1~9</t>
    <phoneticPr fontId="2" type="noConversion"/>
  </si>
  <si>
    <t>■ (1절) 내 영혼아 여호와를 송축하라 여호와 나의 하나님이여 주는 심히 위대하시며 존귀와 권위로 옷 입으셨나이다.
- 주하나님 지으신 모든 세계 내마음 속에 그리어 볼때, 하늘의 별 울려 퍼지는 뇌성 주님의 권능 우주에 찼네
  숲속이나 험한 산골짝에서 지저귀는 저 새소리들과 고요하게 흐르는 시냇물은 주님의 솜씨 노래하도다
  주님의 높고 위대하심을 내 영혼이 찬양하네
  주 하나님 독생자 아낌없이 우리를 위해 보내주셨네 십자가에 피 흘려 죽으신 주 내 모든 죄를 구속하셨네
  내 주 예수 세상에 다시 올 때 저 천국으로 날 인도하리 나 겸손히 엎드려 경배하며 영원히 주를 찬양하리라
  주님의 높고 위대하심을 내 영혼이 찬양하네
- 모든 세계의 운행을 보고 있노라면, 창조주 하나님께 압도되어 버린다. 그 앞에 엎드려 경배드릴 수 밖에 없으며, 그러한 하나님이 나의 아버지 되어주심에 감사하게 될 뿐이다.</t>
    <phoneticPr fontId="2" type="noConversion"/>
  </si>
  <si>
    <t xml:space="preserve"> 1. 오늘도 즐겁고 기대되는 하루가 될수 있어 감사합니다. 
 2. 자녀와 함께 깊은 정을 나누고, 서로 사랑 속삭이게 하시니 감사합니다.
 3. 배우고 익힐때 기쁨과 감사가 넘치게 하시니 감사합니다.
 4. 멘토와 함께하는 교제 시간과 또, 오가는 대화 가운데 통찰을 얻게 하시니 감사합니다.
 5. 매일 아침 나만을 위한 시간, THE FIVE를 꾸준히 할 수 있어 감사합니다.
 6. THE FIVE를 통해 배운 것을 실천하고, 그것에서 큰 성과를 이루게 하시니 감사합니다.
 7. 골프의 스윙이 날이 갈수록 안정되고 일관성 있게 되어 감사합니다.
 8. 투자 공부를 통해 '복리'의 강력함을 배웠습니다. 인생에 모든 영역에 '복리효과'를
    누릴 수 있도록 지혜와 끈기를 주세요.
 9. 오늘도 최선을 다해서 하루를 보내도록 하겠습니다. 감사합니다. 고맙습니다.</t>
    <phoneticPr fontId="2" type="noConversion"/>
  </si>
  <si>
    <t>■ Footprints in Books
- 린디 효과는 시간이 흐를수록 생존 가능성이 높아지는 비부패성 자산의 특성을 설명한다. 5,000년의 역사를 지닌 금이나 100년 넘게 사랑받은 코카콜라처럼, 시간이라는 엄격한 심판을 견딘 존재는 그 자체로 강력한 생존력을 증명한다. 투자에서도 이러한 통찰은 유효하다. 새롭고 화려한 것에 현혹되기보다 이미 검증된 우량주나 자산의 가치에 주목하는 것이 안정적이다.
하지만 오래된 역사가 생존을 보장하지는 않는다. 코닥이나 노키아처럼 시대의 변화에 적응하지 못하면 도태된다. 결국 린디 효과의 핵심은 단순한 지속이 아니라 '변화 속의 적응'에 있다. 투자자는 시간의 가치를 깊이 이해하고, 검증된 안정성과 새로운 기술의 가능성 사이에서 균형을 찾아야 한다. 시간은 결국 가짜를 걸러내고 진짜 가치를 남기는 가장 정직한 심판이다.</t>
    <phoneticPr fontId="2" type="noConversion"/>
  </si>
  <si>
    <t>- 우리 인류는 살아가는 한 인플레이션을 극복해야 하는 숙명을 가지고 있습니다. 주식이 좋은 점은 은퇴 후에 비록 여든 살이 넘어도 수익을 꾸준히 올릴 수 있다는 것입니다. 손주들에게 용돈도 줄 수 있고, 자식들이 어려울 때 도와줄 수도 있습니다 경제적인 지식이 있기에 배우자에게 존경받고, 주변 사람들에게 인정받을 수 있습니다. 인생은 그야말로 찰나입니다. 한 살이라도 더 먹기 전에 미리미리 준비해야 한다는 것을 잊지 마시기 바랍니다</t>
  </si>
  <si>
    <t>【The FIVE】#163-090</t>
    <phoneticPr fontId="2" type="noConversion"/>
  </si>
  <si>
    <t>스킨 인더 게임!
같은 배를 탄 사람은
믿을 수 있다
The FIVE!
죽음도 함께! 번영도 함께!</t>
    <phoneticPr fontId="2" type="noConversion"/>
  </si>
  <si>
    <t>[Q.T묵상] 시편 104 : 10~23</t>
    <phoneticPr fontId="2" type="noConversion"/>
  </si>
  <si>
    <t>■ 내가 당연하게 여기지 않고 하나님께 감사해야 하는 것들은 무엇인가?
- 우리 인생은 너무 고단한 나머지, 주식이 대박나거나, 승진하거나 하는, 뭔가 거창한 일이 있을때에만이 '감사'로 생각한다. 그외의 평범한 일상은 감사의 범주에 들어가지 못하다가 병이 들면, 젊어서의 건강이 얼마나 감사한 것이었는지, 미세먼지가 심하면 평소에 맑은 하늘이 얼마나 감사한 것인지 비로소 깨닫게 된다. 지금 숨쉬는 이 공기, 지금 마시는 이 물, 아내와 자녀들일 아프지 않고 건강한 것, 가정이 있는 것, 내가 건강하게 걸어다니고, 꿈을 향해 열심히 일하수 있는 것, 사람들과 즐겁게 이야기 나눌수 있는 것, 예수님을 만나 구원을 덕고 하루하루를 주님과 동행하는 것, 모든 것이 감사다. 일상의 모든 것이 감사다.
■ 하박국 3:17-18 :비록 무화과나무가 무성하지 못하며 포도나무에 열매가 없으며 감람나무에 소출이 없으며 밭에 먹을 것이 없으며 우리에 양이 없으며 외양간에 소가 없을지라도 나는 여호와로 말미암아 즐거워하며 나의 구원의 하나님으로 말미암아 기뻐하리로다. 아멘.</t>
    <phoneticPr fontId="2" type="noConversion"/>
  </si>
  <si>
    <t xml:space="preserve"> 1. 오늘도 즐겁고 기대되는 하루가 될수 있어 감사합니다. 
 2. 준호와 베이징에서 함께 스크린 치며 그간의 삶을 나눌수 있어 감사합니다.
 3. 금융소득의 소중함을 깨닫고 미리부터 준비할수 있어 감사합니다.
 4. 어제 14번째 책을 완독하였습니다. 독서의 즐거움과 깨닫는 행복을 주심에 감사합니다.
 5. 좋은 것들을 사람들과 나누고자 하는 선한 마음을 주심에 감사합니다.
 6. '자기 선언문'을 아침마다 외치고 내 자신을 격려하게 하시니 감사합니다.
 7. 오늘은 금요일 입니다. 뭉클 저녁 모임을 통해 즐곱고 행복한 되게해주세요.
 8. 오늘도 최선을 다해서 하루를 보내도록 하겠습니다. 감사합니다. 고맙습니다.</t>
    <phoneticPr fontId="2" type="noConversion"/>
  </si>
  <si>
    <t>■ Footprints in Books
- 모든 전략을 실행하는데 가장 중요한 것은 인내심이다. '안티프래질 투자'는 단기간에 극적인 수익을 추구하는 것이 아니다. 긴 시간에 걸쳐 꾸준히 견고한 부를 축적해나가는 것이다. 때로는 몇 년간 큰 수익이 나지 않을 수도 있고, 주변 사람들이 더 빠르게 부자가 되는 것처럼 보일 수도 있다. 하지만 진정한 부는 하루아침에 만들어지지 않으며, 오래 지속될 수 있는 부만이 진짜 부다.  결국 탈레브가 우리에게 가르쳐주는 가장 중요한 교훈은 겸손함이다. 우리는 미래를 알 수 없고, 시장을 예측할 수 없으며, 언제 어떤 일이 일어날지 확신할 수 없다. 하지만 바로 이 불확실성 속에서 우리는 더 현명해질 수 있고, 더 강해질 수 있으며, 궁극적으로 더 많은 선택권과 자유를 얻을 수 있다. 불확실성을 친구로 만드는 법을 배운다면 이제 어떤 폭풍이 와도 흔들리지 않는 진정한 투자자가 될 준비가 된 것이다.</t>
    <phoneticPr fontId="2" type="noConversion"/>
  </si>
  <si>
    <t>AI 시대는 곧 '전력 산업'으로 재정의되며 에너지 공급이 국가 경쟁력의 핵심이 되었다. 한·미·중 등 주요국은 전력망과 인프라에 막대한 투자를 집중하고 있으며, 전력은 AI 발전의 실질적 병목으로 부상했다.
이에 따라 반도체와 에너지 인프라가 유망 투자처로 떠올랐으며, 업계는 현재를 전력 인프라 슈퍼사이클의 초입으로 진단하고 있다.</t>
    <phoneticPr fontId="2" type="noConversion"/>
  </si>
  <si>
    <t>【The FIVE】#164-091</t>
    <phoneticPr fontId="2" type="noConversion"/>
  </si>
  <si>
    <t>■ 
- 
■ 
-</t>
    <phoneticPr fontId="2" type="noConversion"/>
  </si>
  <si>
    <t xml:space="preserve"> 1. 오늘도 즐겁고 기대되는 하루가 될수 있어 감사합니다. 
 2. 
 3. 
 4. 
 5. 
 6. 
 7. 
 8. 
 9.
10. 오늘도 최선을 다해서 하루를 보내도록 하겠습니다. 감사합니다. 고맙습니다.</t>
    <phoneticPr fontId="2" type="noConversion"/>
  </si>
  <si>
    <t>■ Footprints in Books_Chapter.
-</t>
    <phoneticPr fontId="2" type="noConversion"/>
  </si>
  <si>
    <t>【The FIVE】#164-091</t>
  </si>
  <si>
    <t>독서와 실행
독서하는 사람은 적고
실행 하는 사람은 더 적다
그래서, 조금의 노력만 기울여도
대부분의 사람들보다 앞서게 된다</t>
  </si>
  <si>
    <t>■ [Q.T묵상] 시편 104 : 10~23</t>
  </si>
  <si>
    <t>- 그들은 그의 발을 차꼬로 상하게 했고 목에는 쇠사슬을 채웠지만, 여호와의 말씀이 이루어질 때가지 말씀이 그를 연단했다.(18~19절)
☞하나님의 말씀이 이루어질 때까지 말씀이 우리를 연단하신다. 연단이란 풀무불에 달군 쇠를 망치로 두드리고, 다시 차가운 물에 넣고, 다시 풀무불에 달구는 작업이다. 이를 톻해 쇠는 불순물이 빠지고, 단단해지고, 날카로워지며 아름다워진다. 고작 쇳덩어리로 존재하던 것이 아름답고 훌륭한 걸작품으로 태어나는 것이다.
☞하나님, 제 인생도 하나님 앞에 걸작품이 되기 원합니다. 제 인생에 개입하시고, 불과, 망치과 물로 연단하시되 말씀이 이루어질 때까지 하옵소서. 지금은 여전히 불순물 투성이 이며, 이리저리 찌그러진 흉측한 모양이지만, 대장장이 되신 주짐의 손에 붙들릴때, 아름답고 훌륭한 걸작품으로 태어날 것으로 믿습니다. 아멘.</t>
  </si>
  <si>
    <t xml:space="preserve"> 1. 오늘도 즐겁고 기대되는 하루가 될수 있어 감사합니다. 
 2. 문프로님과 멘토님 함께 필드 라운딩에서 놀라운 성적과 즐거운 시간을 가졌습니다.
 3. 순모임에서 찬양을 맡게되며 다시 기타를 들고 찬양인도를 하게 하시니 감사합니다. 
 4. 폭풍 가운데 나의 피난처, 나의 쉴 곳 되신 주님, 주님 품에서 평안주시니 감사합니다.
 5. 즐거움과 웃음이 끊이지 않는 행복한 가정 이루게 하시니 감사합니다.
 6. 독서를 통해 깨닫는 즐거움을 맛보고 알게 하시니 감사합니다.
 7. 멘토와의 교제를 통해 하나님의 역사하심과 인도하심을 느끼게 하시니 감사합니다.
 8. 매일 아침 자기선언을 통해 스스로를 격려하고 원하게 하시니 감사합니다.
 9. 하남매가 다시 수영을 시작합니다. 어떠한 배움이든 최선을 다하게 해주세요. 
10. 오늘도 최선을 다해서 하루를 보내도록 하겠습니다. 감사합니다. 고맙습니다.</t>
  </si>
  <si>
    <t>진보를 위한 주식투자(이광수)</t>
  </si>
  <si>
    <t>■ Footprints in Books_투자의 심리학(구본기)
- 주식투자는 숫자가 아닌 사람을 이해하는 일이다. 찰리 멍거가 인간의 어리석음을 연구했듯, 투자의 본질은 복잡한 인간 행동과 심리에 있다. 따라서 책을 통한 지식 습득만으로는 충분하지 않다. 연애나 축구를 책으로만 배울 수 없듯이, 투자 역시 현장에서 직접 부딪치며 몸으로 익혀야 하는 경험의 학문이다.
아기가 수없이 넘어지며 걸음마를 배우듯, 투자자 또한 시행착오를 통해 성장한다. 완벽한 준비를 기다리기보다 먼저 계좌를 열고 실전 경험을 쌓는 것이 중요하다. 이는 나이키의 'Just Do It' 정신과도 일맥상통한다. 위기 속에서도 도전을 멈추지 않았던 나이키처럼, 투자에서도 결과보다 중요한 것은 실패를 두려워하지 않는 시도 자체이다. 합리적인 판단을 바탕으로 과감하게 행동할 때, 불확실한 미래는 비로소 투자의 기회로 바뀐다. 투자의 진정한 출발점은 망설임을 버리고 내딛는 바로 그 첫걸음이다.</t>
  </si>
  <si>
    <t>AI 산업은 사용자 수가 아닌 연산량(컴퓨팅)이 곧 매출이 되는 구조로 변모했다. Anthropic의 사례처럼 AI 기업은 단순 소프트웨어사를 넘어 컴퓨팅을 소비하고 그 연산량을 매출로 전환하는 기업으로 진화하고 있다. 
'투자-컴퓨팅-매출'로 이어지는 기하급수적 성장 구조에서, 연산을 가장 많이 확보하고 활용하는 기업이 시장을 주도할 것이다.</t>
  </si>
  <si>
    <t>【The FIVE】#166-093</t>
    <phoneticPr fontId="2" type="noConversion"/>
  </si>
  <si>
    <t>시장은 끊임없이 변화한다
우리가 끊임없이 공부해야
이유가 거기에 있다</t>
    <phoneticPr fontId="2" type="noConversion"/>
  </si>
  <si>
    <t>■ [Q.T묵상] 시편 105 : 23~45</t>
    <phoneticPr fontId="2" type="noConversion"/>
  </si>
  <si>
    <t>- 43 그의 백성이 즐겁게 나오게 하시며 그의 택한 자는 노래하며 나오게 하시고44 여러 나라의 땅을 그들에게 주시며 민족들이 수고한 것을 소유로 가지게 하셨으니45 이는 그들이 그의 율례를 지키고 그의 율법을 따르게 하려 하심이로다 할렐루야 (43~45절)
☞하나님께서 자기 백성이 애굽의 핍박을 받는 것을 불쌍히 여기시고 10가지 재앙을 내려 자기 백성을 애굽으로부터 나오게 하셨다. 광야에서는 구릅기동과 불기둥으로 자기 배성을 지키셨고, 약속의 땅 가나안까지 인도하셨다. 하나님께서 일하신다. 자기 백성을 위해서 하나님께서 일하신다. '엘 샤다이' 전능하신 하나님을 믿고 그분의 일하심을 신뢰하자. 주앞에 엎드리면서도 하나님을 믿지 못해 비웃는 내가 되지 말자. 하지만, 그렇다 할지라도, 하나님께서는 택하신 자녀에게는 그 비웃음 조차 진정한 '기쁨의 웃음'으로 변화시켜 주신다. 주를 찬양하라.  주의 이름을 높여드리자. 그분은 나를 사랑하시고, 나와 함께 계시며 나를 지켜주시는 나의 하나님이시다. 아멘!</t>
    <phoneticPr fontId="2" type="noConversion"/>
  </si>
  <si>
    <t xml:space="preserve"> 1. 오늘도 즐겁고 기대되는 하루가 될수 있어 감사합니다. 
 2. 온 가족이 하나님께 예배드릴 수 있음에 감사합니다.
 3. 베이징에 와서 하나님과 더 깊은 관계로 발전할 수 있어 감사합니다.
 4. 문순장님과 일대일을 하게 되어 감사합니다.
 5. 하남매가 언제가 자신감 있고, 웃고, 즐겁게 생활하고 있어 감사합니다.
 6. 아내와 대화가 통하고, 언제든 즐겁게 소통 할 수 있어 감사합니다.
 7. 'The Five'를 통해 Q.T와 독서, 공부와 투자 모두 실천할수 있어 감사합니다.
 8. 골프를 통해 성장과 성취감을 느끼게 하시니 감사합니다.
 9. 제게 주신 것과 제게 주지 않은 것, 모두에 감사합니다. 하나님의 계획을 신뢰합니다.
10. 오늘도 최선을 다해서 하루를 보내도록 하겠습니다. 감사합니다. 고맙습니다.</t>
    <phoneticPr fontId="2" type="noConversion"/>
  </si>
  <si>
    <t>진보를 위한 주식투자(이광수)</t>
    <phoneticPr fontId="2" type="noConversion"/>
  </si>
  <si>
    <t>■ Footprints in Books_진보를 위한 주식투자(이광수)
- 투자는 기업의 수치보다 인간의 심리에 의해 결정되는 ‘심리 그래프’이다. 시장을 이기기 위해서는 외부 환경보다 내 안의 탐욕과 공포를 다스리는 것이 우선이며, 사람에 대한 깊은 이해가 필수적이다. 투자의 세계에서 영원한 것은 없으며, 변화를 인정할 때 비로소 시장의 사이클을 이해할 수 있다.
시장은 보통 소수의 ‘주도주’가 이끌어간다. 단순히 규모가 큰 대장주와 달리, 주도주는 강한 상승률과 압도적인 거래 대금을 바탕으로 시장 평균 이상의 수익을 만든다. 이러한 주도주는 시대의 흐름에 따라 끊임없이 변하므로 과거의 영광에 머물러서는 안 된다. 결국 성공적인 투자는 ‘좋은 기업’을 넘어 ‘지금 시장이 집중하는 기업’을 찾아내는 통찰력에 달려 있다. 끊임없이 변화하는 시장 흐름과 인간의 마음을 읽는 자만이 진정한 수익을 얻을 수 있다.</t>
    <phoneticPr fontId="2" type="noConversion"/>
  </si>
  <si>
    <t>어제 찰리 노와 운동하면서 이런 이야기를 나눴다.
지금은 미미해 보일지라도 이 작은 노력들이 쌓이면 우리의 미래는 분명 달라질 것이라는 믿음. 우리는 각자의 자리에서 가장으로서 책임을 다하며 하루하루를 성실하게 살아가고 있다. 그 자체로 이미 충분히 의미 있는 길 위에 있다고 생각한다. 
대한민국의 모든 가장들이 오늘도 힘내길 바란다.</t>
    <phoneticPr fontId="2" type="noConversion"/>
  </si>
  <si>
    <t>【The FIVE】#167-094</t>
    <phoneticPr fontId="2" type="noConversion"/>
  </si>
  <si>
    <t xml:space="preserve">대중이 열광할 수 있는 종목을
미리 예측하고 선점하기위해서는
3차적 사고는 필수다
주가상승을 기대하게 하는
'사람들의 기준'
 그것이 열쇠다 </t>
    <phoneticPr fontId="2" type="noConversion"/>
  </si>
  <si>
    <t>■ [Q.T묵상] 시편 106 : 1~12</t>
    <phoneticPr fontId="2" type="noConversion"/>
  </si>
  <si>
    <t>- (시106:8-11)그러나 여호와께서는 자기의 이름을 위하여 그들을 구원하셨으니 그의 큰 권능을 만인이 알게 하려 하심이로다9 이에 홍해를 꾸짖으시니 곧 마르니 그들을 인도하여 바다 건너가기를 마치 광야를 지나감 같게 하사10 그들을 그 미워하는 자의 손에서 구원하시며 그 원수의 손에서 구원하셨고11 그들의 대적들은 물로 덮으시매 그들 중에서 하나도 살아 남지 못하였도다.
☞이스라엘 민족은 애굽땅에서 하나님의 능력(10가지 재앙)을 목도했으나, 홍해 앞에서 더이상 나아가지 못하자 하나님과 모세를 원망했다. 하나님은 '자기 이름을 위하여' 홍해를 가르시고, 마른땅을 걷게 하시고, 그 대적들은 물로 쓸어버리셨다. 나의 잘남. 나의 선함. 나의 의로움. 나의 공로. 나의 죄악. 나의 허영. 나의 탐욕. 그것들과 관계없이, 신실하신 하나님께서는 자기 이름을 위하여 그 백성을 구원하시고 이끄신다. 예수님께서는 나의 연약함을 체휼하시고 오로지 은혜로 구원을 선물로 주셨다. 신실하신 주님을 찬양합니다. 아멘!</t>
    <phoneticPr fontId="2" type="noConversion"/>
  </si>
  <si>
    <t xml:space="preserve"> 1. 오늘도 즐겁고 기대되는 하루가 될수 있어 감사합니다. 
 2. 어제는 마음이 푹 가라앉아서 힘을 낼 수 없는 날이었습니다. 찬양을 들으며 광야에서
    만나는 하나님을 묵상하였습니다. 앞이 보이지 않는 광야의 삶. 오늘만을 살아갑니다.
 3. 빠른 퇴근을 하고 귀가하자마자 두시간을 잤습니다. 자고 일어니나 한결 좋아졌습니다.
 4. 하민이가 내 팔베개를 하고 잠이 들었습니다. 품안에서 새근새근 하민이의 숨결이 느껴
    지니, 내가 살아가는 것이 얼마나 가치있는 일인가를 느꼈습니다.
 5. 하민이를 '아보'라고 부르기로 하였습니다. '아빠 보물' 아보. 하민이도 좋아합니다.
 6. 베이징에서의 삶은 모든 것이 완벽합니다. 단 하나, 회사만 빼고... 그런데, 이런 생각은
    누구나 하는 것 같습니다. 결국 회사일이 삶의 질을 결정하는 것 같습니다.
 7. 오늘도 최선을 다해서 하루를 보내도록 하겠습니다. 감사합니다. 고맙습니다.</t>
    <phoneticPr fontId="2" type="noConversion"/>
  </si>
  <si>
    <t>■ Footprints in Books_진보를 위한 주식투자(이광수)
-향후 주가가 오를 주식을 찾는 방법은 중 첫번째, 3차적 사고. 주식투자에서 3차적 사고는 개인의 선호나 타인의 단순한 생각을 넘어 대중의 기대를 예측하는 방식이다. 미인대회에 비유하자면, 1차적 사고는 자신의 주관적 기준으로 미인을 고르는 것이며, 2차적 사고는 타인이 누구를 예쁘다고 생각할지 고려하는 것이다. 반면 3차적 사고는 사람들이 예쁘다고 생각하는 기준 자체가 무엇인지 파악하여 그 기대를 예측하는 단계이다. 주식 시장도 이와 유사하게 나만 좋다고 판단하는 종목은 상승 가능성이 낮다. 결국 다수의 사람이 좋아하고 주가 상승을 확신하는 종목의 가격이 오르기 마련이다. 따라서 성공적인 투자를 위해서는 대중이 열광할 수 있는 종목을 미리 예측하여 선점해야 한다. 즉, 다른 사람들이 어떤 조건에서 주가 상승을 기대하는지 먼저 고민하고 그 흐름을 읽어내는 것이 3차적 사고 투자의 핵심이다.</t>
    <phoneticPr fontId="2" type="noConversion"/>
  </si>
  <si>
    <t>AI는 하나의 흐름이며 그 자체가 인프라다.
【칩 → 서버 → 네트워크 → 데이터센터 → 전력】
그 인프라는 전력을 먹고, 자본을 흡수하고, 한번 구축되면 쉽게 바뀌지 않는다
좋은 기업보다 중요한 건 “방향이 맞는 기업”이다. 방향이 맞으면 시간이 해결하지만 방향이 틀리면 결국 밀려난다.</t>
    <phoneticPr fontId="2" type="noConversion"/>
  </si>
  <si>
    <t>【The FIVE】#168-095</t>
    <phoneticPr fontId="2" type="noConversion"/>
  </si>
  <si>
    <t>주식은 소비재가 아니다
소비재는 쌀 때 사야하고
주식은 오를만한 것을 사야한다</t>
    <phoneticPr fontId="2" type="noConversion"/>
  </si>
  <si>
    <t>- (시편 106:19-22) 그들이 호렙에서 송아지를 만들고 부어 만든 우상을 경배하여20 자기 영광을 풀 먹는 소의 형상으로 바꾸었도다21 애굽에서 큰 일을 행하신 그의 구원자 하나님을 그들이 잊었나니22 그는 함의 땅에서 기사와 홍해에서 놀랄 만한 일을 행하신 이시로다
☞우리의 삶은 하나님께 집중되어야 한다. 하나님께서 내 인생에 행하신 일들을 생각하며 그 위대심과 나를 사랑하심을 날마다 되새겨야한다. 이스라엘 민족은 하나님의 위대한 기적들을 직접 눈으로 보고, 홍해의 마른 땅을 직접 걸었고, 만나와 매추라기를 직접 맛보았음에도, 전능하신 하나님을 한낱 '풀먹는 소' 와 바꿔버렸다. 인간은 망각의 동물이다. 인간은 악하다. 선하신 하나님은 밀어내려고 하고, 악하고 이기적인 '나'를 하나님의 자리에 앉히려고 한다. 주님, '풀먹는 소'를 하나님보다 더 높게 여기는 어리석은 이스라엘 민족과 같은 제 자신을 발견합니다. 하나님이 제 인생에 행신 모든 기적들, 그리고 예순님을 통한 구원의 은혜와 감격을 매일 묵상하고 기억하게 하옵소서. 아멘.</t>
    <phoneticPr fontId="2" type="noConversion"/>
  </si>
  <si>
    <t xml:space="preserve"> 1. 오늘도 즐겁고 기대되는 하루가 될수 있어 감사합니다. 
 2. 오랜만에 영애씨와 대화를 나눌수 있어 감사합니다. 제가 중매를 선 가정이 두 자녀를 
    두고 행복하게 사는 모습에 더욱 감사합니다.
 3. 어제부터 현미밥을 섭취하면서 건강을 더욱 챙기기로 하였습니다. 현미밥을 준비해주는
    미향이가 있어 참 감사합니다. 
 4. 귀에서 이명소리가 나기 시작했습니다. 수면시간을 더욱 확보하겠습니다. 
 5. 이번주 금요일 순모임 야유회에서 순장님과 '더블 엠씨'를 하기로 하였습니다. 순원들과 
    즐거운 시간을 보낼수 있도록 창의적인 아이디어를 부어주세요.
 6. 월간 업무보고 작성을 오늘중에 마무리 해야합니다. 지혜가 넘치게 해주세요.
 8. 오늘도 최선을 다해서 하루를 보내도록 하겠습니다. 감사합니다. 고맙습니다.</t>
    <phoneticPr fontId="2" type="noConversion"/>
  </si>
  <si>
    <t>■ Footprints in Books_진보를 위한 주식투자(이광수)
- 향후 주가가 오를 주식을 찾는 방법 두번째. 상승 흐름에 올라타는 통찰력
주식은 소비가 아닌 투자의 대상이다. 단순히 가격이 싸다는 이유로 하락하는 주식을 사는 것은 위험하며, 상승 흐름에 올라타는 통찰력이 중요하다. 주가 상승은 시장의 신뢰를 반영하며, 그 중심에는 산업 혁신과 수요 증가를 이끄는 '주도주'가 있다.
투자 시에는 매출 성장이나 수익성 개선 등 주가가 오르는 분명한 이유를 확인해야 한다. 실체가 없는 테마주는 멀리하고, 근거 있는 상승주를 선택해야 한다. 상승의 이유가 확실하고 지속된다면 이미 많이 올랐더라도 주가는 추가로 신고가를 기록하며 더 오를 수 있다. 결국 주식투자는 단순히 싸게 사는 기술이 아니라, 상승의 이유를 정확히 이해하고 흐름을 읽는 지혜의 싸움이다.</t>
    <phoneticPr fontId="2" type="noConversion"/>
  </si>
  <si>
    <t>- 세일 기간이 이미 지났다고? 
  걱정하지 말라. 바겐세일은 언제나 반복된다 
- 좋은 공이 올 때까지 기다릴 수 있는 인내와 선구안
  이 필요하다 ​
- 업종 대표주가 바닥이면 눈을 감고 사라
- 떨어질 때 적게 떨어지고 오를 때 많이 오르는 것이
  업종 대표주다.</t>
    <phoneticPr fontId="2" type="noConversion"/>
  </si>
  <si>
    <t>【The FIVE】#169-096</t>
    <phoneticPr fontId="2" type="noConversion"/>
  </si>
  <si>
    <t>파도를 만드는 
바람인데 말이오. 
영화 &lt;관상&gt; 中...
금리, 유동성, 정책, 기업의 경쟁력
같은 근본적인 바람이 
파도의 방향과 크기를 결정한다.</t>
  </si>
  <si>
    <t>■ [Q.T묵상] 시편 106 : 34~48</t>
    <phoneticPr fontId="2" type="noConversion"/>
  </si>
  <si>
    <t xml:space="preserve">-  시편 106:44-46 그러나 여호와께서 그들의 부르짖음을 들으실 때에 그들의 고통을 돌보시며45 그들을 위하여 그의 언약을 기억하시고 그 크신 인자하심을 따라 뜻을 돌이키사46 그들을 사로잡은 모든 자에게서 긍휼히 여김을 받게 하셨도다. 
☞이스라엘 민족은 사춘기 말 않듣는 자녀처럼 매번 사고를 치고, 하나니 말씀을 거역하고, 못된 짓만 골라서 했다. 하나님은 이방 민족을 회초리 삼아 이스라엘을 혼내기도 하시고, 또 반성하면 구원을 배푸셨다. 왜 하나님은 구지 이런 민족을 버리지 않고 끝까지 바른 길로 인도하시려고 하실까..... 여기에서 우리 엄마와 누나의 인생을 통해 깨닫는 것이 있다. 누나는 초등학생 시절부터 사고만 치고 다니는 사고뭉치였고, 엄마와는 견원지간처럼 지냈다. 하지만, 엄마는 누나를 끝까지 품었다. 신용불량자가 되어도, 집안의 돈을 다 가져다 써도, 커서까지도 엄마에게 따뜻한 한마도 않하는 누나일지라도 끝까지 품으신다. 엄마에게 누나는 자녀이기 때문이다. 이슬라엘도 하나님께는 자녀다. 결코 포기할수 없는. 부족한 저 조차도 자녀 삼아주신 주님께 감사와 찬송을 드립니다.아멘. </t>
    <phoneticPr fontId="2" type="noConversion"/>
  </si>
  <si>
    <t xml:space="preserve"> 1. 오늘도 즐겁고 기대되는 하루가 될수 있어 감사합니다. 
 2. 신부장님과 퇴근 후 즐거운 스크린 골프를 즐길수 있음에 감사합니다.
 3. 멘토 통해 '독서와 투자'라는 보석같은 인생의 동반자를 만나게하심에 감사합니다.
 4. 공부하고 투자하는 기쁨과 그로인한 성과를 통해 경제적 이익을 누리게 하심에 감사. 
 5. 선한 사람들과 투자 의견을 나누며 THE FIVE의 확장의 기초를 다져감에 감사합니다.
 6. 착한 마음을 가진 미향이를 아내로 주시고, 함께 행복을 누리게 하시니 감사합니다.
 7. 장인장모님이 5.1 노동절 연휴에 북경에 오십니다. 즐거운 시간 누리게 해주세요.
 8. 어제 전도사님 자녀 온유의 생일을 기억하고 늦은시간에 온가족이 선물을 준비하고 댁앞에 가서 생일을 축하였습니다. 선한일을 기쁨으로 여기는 우리가족이 됨에 감사합니다.
 9. 오늘도 최선을 다해서 하루를 보내도록 하겠습니다. 감사합니다. 고맙습니다.</t>
    <phoneticPr fontId="2" type="noConversion"/>
  </si>
  <si>
    <t>■ Footprints in Books_진보를 위한 주식투자(이광수)
- 향후 주가가 오를 주식을 찾는 방법 세번째.  경제흐름에 맞는 주식을 찾기. 주식 투자는 단순한 숫자의 싸움이 아니라 세상을 읽는 통찰의 과정이다. 주식시장은 결코 고립된 섬이 아니며 금리, 환율, 유가 등 거시경제 지표들이 유기적으로 얽혀 있는 거대한 생태계다. 투자자는 개별 기업의 재무제표에만 매몰되기보다 세상의 흐름을 먼저 읽는 안목을 길러야 한다. 결국 주가는 현실 경제의 변화를 정직하게 비추는 거울과 같기 때문이다. 특히 오늘날의 AI 혁명은 일시적인 유행을 넘어 산업 전반의 구조적 변화를 이끄는 필수적인 전제다. 반도체와 데이터센터 등 기술의 방향성을 명확히 읽어내는 것이 투자의 성패를 가르는 핵심이다. 진정한 투자자란 차트 뒤에 숨겨진 시대의 변화를 감지하고, 거시경제라는 큰 파도 위에서 균형을 잡는 사람이다. 세상의 변화를 두려워하지 않고 그 흐름에 올라타 함께 성장하는 것만이 가장 지혜로운 투자의 길이다.</t>
    <phoneticPr fontId="2" type="noConversion"/>
  </si>
  <si>
    <t>■ 나는 사람의 얼굴을 봤을 뿐, 시대의 얼굴을 보질 못했소, 시시각각 변하는 파도만 본 격이지, 바람을 보아야 하는데, 파도를 만드는 것 바람인데 말이오
    - 영화 &lt;관상&gt; 中...
→ 파도를 만드는 건 바람이라는 사실을 잊어서는 안 된다. 금리, 유동성, 정책, 기업의 경쟁력 같은 근본적인 바람이 파도의 방향과 크기를 결정한다.</t>
  </si>
  <si>
    <t>【The FIVE】#170-097</t>
  </si>
  <si>
    <t>주식은 쉽고 단순하게 하자</t>
  </si>
  <si>
    <t>■ [Q.T묵상] 룻기 1:1~14</t>
  </si>
  <si>
    <t xml:space="preserve">-  룻기 1:14 그들이 소리를 높여 다시 울더니 오르바는 그의 시어머니에게 입 맞추되 룻은 그를 붙좇았더라
☞홀로된 시어머니를 모시는 며느리, 하지만, 두 며느리의 남편은 모두 죽고 없다. 시어머니는 두 며느리에게 처가로 돌아가 새로운 삶을 살라고 한다. 첫째 며니리 오르바는 시어머니께 입맞추고 그녀를 떠났지만, 둘째 며느리 눗은 돌아가지 않고 시어머니를 모시기로 한다. 기근으로 인해 고난의 상황에서, 남자도 없는 가정은 그야말로 생존을 고민하게 되는 상황이지만, 룻은 안전함을 택하는 대신 인간으로서 마땅히 해야할 도리를 택한다. 
☞사람이 계획을 가지고 계산하면서 살다보면, 눈앞에 닥친 문제를 기준으로 미래를 판단한다. 불행한 일은 인간은 그다음 일어날 일에 대해 알수 없다는 것이다. 계산적으로 사는 사람은 그 다음음 일어날 일의 변수를 계산에 넣지 못한다. 하지만, 지혜로운 사람은 계산보다 '의'와 '도리', 하나님의 뜻과 말씀을 생각한다. 나에게 불리하지만, 마땅히 해야할 주님의 말씀대로 사는 것이다. </t>
  </si>
  <si>
    <t xml:space="preserve"> 1. 오늘도 즐겁고 기대되는 하루가 될 수 있어 감사합니다. 
 2. 오늘 순모임 야유회입니다. 교제를 통해 하나님의 풍성한 사랑이 넘쳐나길 기도합니다.
 3. 5.1 노동절 연휴가 시작되었습니다. 평안히 쉬고 행복한 시간 되게 해주세요.
 4. 장인장모님께서 오늘 북경에 오십니다. 북경에 계시는 동안 행복한 시간 기대됩니다.
 5. 창밖에 좋은 날씨를 주심에 감사합니다.
 6. 5월의 첫날을 Q.T 와 The Five로 시작할수 있어 감사합니다.
 7. 독서와 투자의 즐거움을 알게해주셔서 감사합니다.
 8. 배운 것 중 유익한 것을 사람들과 나누고싶은 선한 마음 주심에 감사합니다.
 9. 오늘도 최선을 다해서 하루를 보내도록 하겠습니다. 감사합니다. 고맙습니다.</t>
  </si>
  <si>
    <t>■ Footprints in Books_진보를 위한 주식투자(이광수)
-- 향후 주가가 오를 주식을 찾는 방법 세번째.  저평가된 주식 찾기. 투자 종목 선정은 기업 가치를 분석하는 기본적 분석과 가격 흐름을 살피는 기술적 분석으로 구분된다. 기술적 분석은 과거 데이터와 거래량을 기반으로 투자자 심리와 수급을 파악해 매매 시점을 결정한다. 이는 시장 변화를 빠르게 반영하므로 단기 매매 타이밍을 잡는 데 유용하다.
주가는 수요와 공급에 의해 결정되며 상승과 하락의 주기를 반복한다. 다만 인간의 심리는 수시로 변하므로 기술적 분석을 확정적 예측이 아닌 확률적으로 유리한 지점을 찾는 도구로 보아야 한다. 결국 투자의 본질은 차트 이면의 돈의 흐름과 시장 감정을 읽는 것이다. 이를 통해 가격이 낮은 구간에서 매수하고 높은 가격에서 매도하는 등 확률 높은 선택을 통해 위험을 피하고 수익을 극대화하는 것이 핵심이다.</t>
  </si>
  <si>
    <t xml:space="preserve">대형주는 정보가 투명하고 접근하기 쉽다, 애널리스트 리포트, IR자료, 재무제표, 업계 인터뷰, 뉴스기사, CEO발언까지 쉽게 찾을 수 있다. 대형주의 또 다른 강점은 뛰어난 안정성이다, 대형주는 이미 검증된 사업 모델과 견고한 재무 구조를 갖추었다. 투자할 때 중요한 것이 '회복력'이다. 산업을 대표하는 1등 대형주는 대부분 실수를 만회할 기회를 준다. 주식은 쉽고 단순하게 하자. 1등 기업 투자는 승리의 공식에 동참하는 확실한 전략이다. </t>
  </si>
  <si>
    <t>【The FIVE】#171-098</t>
    <phoneticPr fontId="2" type="noConversion"/>
  </si>
  <si>
    <t>반응' 하지 말고 '대응' 하자</t>
    <phoneticPr fontId="2" type="noConversion"/>
  </si>
  <si>
    <t>■ [Q.T묵상] 룻기 1:15~22</t>
    <phoneticPr fontId="2" type="noConversion"/>
  </si>
  <si>
    <t xml:space="preserve">- 룻기 1:16-17 룻이 이르되 내게 어머니를 떠나며 어머니를 따르지 말고 돌아가라 강권하지 마옵소서 어머니께서 가시는 곳에 나도 가고 어머니께서 머무시는 곳에서 나도 머물겠나이다 어머니의 백성이 나의 백성이 되고 어머니의 하나님이 나의 하나님이 되시리니17 어머니께서 죽으시는 곳에서 나도 죽어 거기 묻힐 것이라 만일 내가 죽는 일 외에 어머니를 떠나면 여호와께서 내게 벌을 내리시고 더 내리시기를 원하나이다 하는지라
☞룻의 인격과 신앙의 깊이, 사람 됨됨이를 이 한마디에서 느낄수 있으며, 또 시어머니인 나오미 또한 평소 하나님에 대한 신앙과 인격이 얼마나 깊었을지 짐작 할 수 있다. 특히, 고부간에 갈등은 인류에게 영원히 풀기 어려운 숙제인데, 고부간에 이러한 신뢰와 믿음은 성경에 쓰여질 수 밖에 없는 놀라운 일이다. 누군가를 '감동'시킨다는 것은 결코 신앙만 좋아서도 아니고, 인격만 좋아서도 아니다. '신앙'과 '인격'은 별개의 것이다. 둘다 최선을 다해야한다. 이 둘에 최선을 다할 때, 내 입술로 주를 전하지 않아도 삶으로 이미 사람들 마음속에 예수를 새겨 넣을수 있다. </t>
    <phoneticPr fontId="2" type="noConversion"/>
  </si>
  <si>
    <t xml:space="preserve"> 1. 오늘도 즐겁고 기대되는 하루가 될수 있어 감사합니다. 
 2. 어제 장인장모님께서 공항에서 헤매셨지만, 무사히 만날수 있게 해주심에 감사합니다.
 3. 하남매가 외할아버지, 외할머니를 기뻐하고 반기니 감사합니다.
 4. 순천집에서 저녁을 먹을때, 사장님께서 특별히 서비스도 주시며 온정을 배품에 감사.
 5. 순모임 야유회가 안전사고 없이 즐겁게 먹고 마시며 행복한 시간 되어 감사합니다.
 6. 레크레이션 준비에 심적 부담이 있었는데, 모두 즐거워하여 감사합니다. 
 7. 투자가 결실을 맺어감을 체감적으로도 느껴지니 감사합니다.
 8. 문프로님께 오늘 필드레쓴을 받을 수 있게 되어 감사합니다.
 9. 오늘도 최선을 다해서 하루를 보내도록 하겠습니다. 감사합니다. 고맙습니다.</t>
    <phoneticPr fontId="2" type="noConversion"/>
  </si>
  <si>
    <t>■ Footprints in Books_진보를 위한 주식투자(이광수)
- 성공적인 투자의 핵심은 감정에 휩쓸리는 ‘반응’이 아니라 이성적 판단에 근거한 ‘대응’에 있다. 투자는 불확실한 미래를 상대하는 일이기에 순간적인 충동을 억제하고 상황을 분석하며 행동의 결과를 고려하는 의식적인 판단이 필수적이다. 이를 위해 투자자는 감정의 비중을 줄이고 시장의 변하지 않는 본질에 집중하는 훈련을 해야 하며, 판단의 과학적 기준으로 ‘기댓값’을 삼아야 한다. 기술적 분석 또한 미래를 맞히는 예언이 아니라 확률적으로 유리한 지점을 찾고 사람들의 심리와 돈의 흐름을 읽는 수단으로 활용되어야 한다. 결국 투자는 판단의 과학이자 행동의 예술이며, 철저한 자기 통제를 통한 합리적 대응만이 변동성 큰 시장에서 자신을 지키고 승리할 수 있는 가장 강력한 힘이 된다.</t>
    <phoneticPr fontId="2" type="noConversion"/>
  </si>
  <si>
    <t>【The FIVE】#172-099</t>
  </si>
  <si>
    <t>■ [Q.T묵상] 룻기 1:15~22</t>
  </si>
  <si>
    <t>-  
☞
-  
☞</t>
  </si>
  <si>
    <t xml:space="preserve"> 1. 오늘도 즐겁고 기대되는 하루가 될수 있어 감사합니다. 
 2. 
 3. 
 4. 
 5. 
 6. 
 7. 
 8. 
 9.
10. 오늘도 최선을 다해서 하루를 보내도록 하겠습니다. 감사합니다. 고맙습니다.</t>
  </si>
  <si>
    <t>■ Footprints in Books_진보를 위한 주식투자(이광수)
-</t>
  </si>
  <si>
    <t>【The FIVE】#173-100</t>
    <phoneticPr fontId="2" type="noConversion"/>
  </si>
  <si>
    <t>■ [Q.T묵상] 룻기 2:8~16</t>
    <phoneticPr fontId="2" type="noConversion"/>
  </si>
  <si>
    <t>(룻기 2:11-12) 보아스가 그에게 대답하여 이르되 네 남편이 죽은 후로 네가 시어머니에게 행한 모든 것과 네 부모와 고국을 떠나 전에 알지 못하던 백성에게로 온 일이 내게 분명히 알려졌느니라. 여호와께서 네가 행한 일에 보답하시기를 원하며 이스라엘의 하나님 여호와께서 그의 날개 아래에 보호를 받으러 온 네게 온전한 상 주시기를 원하노라 하는지라.
☞인생은 냉혹하다. 기근이 들고, 남편들이 죽고, 수천년 전 시대에 홀로 남은 시어머니와 홀로 남은 과부 둘이서 살아가는 인생은 비참하기 그지없다. 다른 사람의 밭에 나가 떨어진 이삭을 주워 겨우 끼니를 떼우며 연명해야하는 처지이며, 어떤 소망을 가지기도 힘든 상황이다. 그저, 오늘 하루 한끼라도 먹을수 있다면 그것이 감사고 다행이라고 여겨지는 상황에, 룻은 시어머니를 모시기로 결단하고 들에 나가 남의 밭에서 이삭줍기를 하고 있다. 그 이삭줍기도 최선을 다해 성실히 한다. 아마도, 이 이삭줍기라도 가능함에 감사한 마음이었을 것이다. 그리고, 하나님은 보아스를 통해  그녀에게 자비와 은혜를 베푸신다. 할렐루야. 인생의 냉혹함 앞에서 하나님의 뜻을 선택한 이들에게 하나님의 자비와 은혜가 넘치고 넘치기를 기도합니다. 아멘.</t>
    <phoneticPr fontId="2" type="noConversion"/>
  </si>
  <si>
    <t xml:space="preserve"> 1. 2026년 The FIVE 100회 실천하게 해주시메 감사합니다. 지치고 힘들때 곁에서 끝까지
    격려와 응원을 아끼지 않으신 멘토님께도 감사합니다. 그리고, 매일 스팸처럼 보내드림
    에도 관심 가지고 봐주시는 독자붙들께도 감사합니다. 무엇보다도, The FIVE의 가치를
    느끼게 하시고, 실천하게 할 수 있는 의지와 능력을 주신 주님께 감사합니다. 씨뿌리고
    물을 주는 것은 우리지만, 자라나게 하시는 분은 하나님이십니다. 모든 노력의 겨실을
    맺게 해주시는 하나님께 감사와 찬송과 영광을 올려드립니다.
 2. 장인장모님께서 북경에 계시는 동안 여러 모양으로 선의를 베풀어주시고, 저희 가정을
    세워주시는 분들이 있어 감사합니다.
 3. 오늘 'Full Moon(만월) 클럽' 라운딩 즐거고 행복했습니다. 
 4. 오늘도 최선을 다해서 하루를 보내도록 하겠습니다. 감사합니다. 고맙습니다.</t>
    <phoneticPr fontId="2" type="noConversion"/>
  </si>
  <si>
    <t xml:space="preserve">■ Footprints in Books_진보를 위한 주식투자(이광수)
- </t>
    <phoneticPr fontId="2" type="noConversion"/>
  </si>
  <si>
    <t>100번의 새벽, 100번의 The FIVE
2026년 The FIVE
100회 달성
꿈을 향한 한 걸음 한 걸음이
복리의 마법으로 내게 되돌아온다</t>
  </si>
  <si>
    <t>■ [Q.T묵상] 룻기 2:17~23</t>
    <phoneticPr fontId="2" type="noConversion"/>
  </si>
  <si>
    <t>(룻기 2:17-18) 룻이 밭에서 저녁까지 줍고 그 주운 것을 떠니 보리가 한 에바쯤 되는지라. 그것을 가지고 성읍에 들어가서 시어머니에게 그 주운 것을 보이고 그가 배불리 먹고 남긴 것을 내어 시어머니에게 드리매.
☞경제적 어려움이 닥치고, 의지할 만한 사람이 없는 상황이 되면, 인간적인 생각의 범위에서는 정말이지 답이 없다. 코로나 기간 그 막막함으로 몸부림 치던 시절을 뒤돌아보면, 지금의 풍족함과 평안함은 결코 나의 계획과 노력으로 얻어진 것이 아니라는 것을 인정할 수 밖에 없다. 소망 없던 나오미와 룻, 그들도 보리 한 에바(약 22리터)를 얻고나서 이러한 생각을 했을 것이다. 당장 한끼가 아쉬운 상황에서 몇일동안 먹을 양식을 구하였고, 또 안정정적으로 나가서 이삭줍기를 할 수 있게 되었으니 말이다. 하나님은 쓰실 사람에게 믿음을 주시고, 시련과 고난으로 그 믿음을 빚어가신다. 사람을 통해 일하시고, 만남을 통해 축복하시고, 마음에 확신을 불어넣어 주심으로 평안을 주신다. 내 인생에 한 애바 만큼의 축복을 받는 요즘이다. 막막한 인생에 한줄기 빛을 비춰주시고 소망을 갖게 하시는 하나님께 감사와 찬양과 영광을 올려드립니다. 아멘.</t>
    <phoneticPr fontId="2" type="noConversion"/>
  </si>
  <si>
    <t xml:space="preserve"> 1. 2026년 The FIVE 100회를 맞이할 수 있어 감사합니다. 지치고 힘들때 곁에서 끝까지
    아낌없는 격려와 응원으로 서포트해주신 멘토님께도 감사합니다. 무엇보다도, The FIVE
    의 가치를 깨닫게 해주시고, 실천하고자 하는 의지와 능력을 주신 주님께 감사합니다.
    씨뿌리고 물을 주는 것은 우리지만, 자라나게 하시는 분은 하나님이 십니다. 모든 노력에
    결실을 맺게 해주시는 하나님께 감사와 찬송과 영광을 올려드립니다.
 2. 장인장모님께서 북경에 계시는 동안 여러 모양으로 선의를 베풀어주신 믿음의 동역자
    분들께 감사합니다. 서로 섬기며 축복하는 소중한 동역의 관계를 만들어가겠습니다.
 3. 어제 'Full Moon(만월) 클럽' 라운딩 즐겁고 행복했습니다.
 4. 원래 계획보다 하루 늦춰 장인장모님께서 구국하십니다. 귀국길 안전하게 지켜주세요. 
 5. 오늘도 최선을 다해서 하루를 보내도록 하겠습니다. 감사합니다. 고맙습니다.</t>
    <phoneticPr fontId="2" type="noConversion"/>
  </si>
  <si>
    <t xml:space="preserve">■ Footprints in Books_진보를 위한 주식투자(이광수)
- 사람들이 하락장에서 손절을 못하는 이유
첫째, 손실회피(Loss Aversion) :사람은 같은 크기의 이익보다 손실을 더 크게 느끼게 되어, 손실을 확정하는 매도 버튼을 끝내 미루게 된다. 둘째, 기준점 집착(Anchoring Bias) :  처음 산 가격이 마음의 기준점이 되어, 자신이 구매했던 가격까지는 회복하겠지라는 생각이 발을 묶느다. 셋째, 소유효과(Endowment Effect) : 내가 가진 주식은 실제 가치보다 더 좋아 보인다. 종목과 사랑에 빠지는 것은 금물이다. 넷째, 확증편향(Confirmation Bias) : 불리한 정보는 피하고 유리한 정보만 더 모은다. 다섯째, 도박사 오류(Gambler’s Fallacy) : ‘이쯤이면 반등할 차례’라는 근거 없는 기대를 갖는다.
→ 손실회피, 기준점 집착, 소유효과, 확증편향, 도박사 오류. 이런 심리들은 서로 엮여 매도하는 결정을 마비시킨다. </t>
    <phoneticPr fontId="2" type="noConversion"/>
  </si>
  <si>
    <t>Lumentum Holdings Inc..이 회사는 지난 1년 동안 무려 1300% 상승했다. AI 시장, 이제는 ‘속도 전쟁’이다. 이제는 연산이 아니라 “데이터를 얼마나 빠르게 전달하느냐” 가 핵심이다. 병목은 항상 돈이 된다. AI가 발전할수록 데이터는 폭발적으로 증가한다. 그리고 그 순간 반드시 병목이 생긴다. 지금 그 병목은 “네트워크” .특히 구리 → 광(레이저) 이 전환 구간이다.  Lumentum이 회사는 그 전환의 중심에 있다. 그럼에도 불구하고 솔직히 말하면, 지금은 너무 비싸다. 쉽지 않은 자리다.</t>
    <phoneticPr fontId="2" type="noConversion"/>
  </si>
  <si>
    <t>【The FIVE】#174-101</t>
    <phoneticPr fontId="2" type="noConversion"/>
  </si>
  <si>
    <t>투자는 '많이 버는 것'이 아닌
냉혹한 시장에서 끝까지 '생존'
하는 과정이다.
생존하기만 하면, 하루하루가 쌓여
복리의 마법으로 되돌아온다.</t>
  </si>
  <si>
    <t>■ [Q.T묵상] 룻기 3:1~18</t>
    <phoneticPr fontId="2" type="noConversion"/>
  </si>
  <si>
    <t xml:space="preserve">(룻기 3:10-11) 그가 이르되 내 딸아 여호와께서 네게 복 주시기를 원하노라 네가 가난하건 부하건 젊은 자를 따르지 아니하였으니 네가 베푼 인애가 처음보다 나중이 더하도다. 그리고 이제 내 딸아 두려워하지 말라 내가 네 말대로 네게 다 행하리라 네가 현숙한 여자인 줄을 나의 성읍 백성이 다 아느니라
☞평상시 내가 의식하지 못하는 가운데 행하는 나의 말과 행동이 바로 나의 가치관이자 삶의 모습니다. 룻이 보아스에게 나아갔을때, 보아스는 '네가 현숙한 여자인 줄을 나의 성읍 백성드링 다 아느니라'고 말한다. 룻은 평상시 그 시어머니를 정성을 다해 모시며, 가난 가운데서도 성실히 최선을 다하는 여인임을 평소 모든 이웃들이 보고 알고 있는 것이다. 설사 사람들이 모른다고 해도 언제나 함께 하시는 하나님은 알고 계신다.
☞하나님 말씀 안에서 가치관을 세우고, 그것을 실천함으로 우리를 단련해나가야 한다. 우리 안에 있는 옛사람의 죄성이 하나님의 말씀대로 살고하자 하는 것을 싫어하기 때문이다. 육신의 정욕, 안목의 정욕, 이생의 자랑...이 범주에서 벗어나 말씀대로 사는 삶은 이웃들로 하여금 나를 통해 하나님을 바라보게 할 수 있다. 그리고, 세상살이에 필요한 입고, 먹고, 마실것들은 하나님께서 공급해주신다! </t>
    <phoneticPr fontId="2" type="noConversion"/>
  </si>
  <si>
    <t xml:space="preserve"> 1. 오늘도 즐겁고 기대되는 하루가 될수 있어 감사합니다. 
 2. 장인장모님께서 북경에서 즐거운 시간을 보내고 안전히 귀국하심에 감사합니다.
 3. 연휴기간 풍성한 나눔과 교제, 가족간의 행복한 시간을 주심에 감사합니다.
 4. 어제 전도사님 가족이 하남매를 데리고 공원에서 행복한 추억을 만들어주심에 감사.
 5. The FIVE를 통해 날마다 배우고 성장할 수 있음에 감사합니다.
 6. 배운 것을 실제 투자에 적용하여 큰 성과를 얻게하심에 감사합니다.
 7. 룻과 같이 평상시의 삶을 통해 하나님께 영광돌려지는 삶이 되기를 기도합니다.
 8. 연휴가 끝나고 첫 출근입니다. 새로운 마음으로 최선을 다하겠습니다. 
 9. 오늘도 최선을 다해서 하루를 보내도록 하겠습니다. 감사합니다. 고맙습니다.</t>
    <phoneticPr fontId="2" type="noConversion"/>
  </si>
  <si>
    <t>■ Footprints in Books_진보를 위한 주식투자(이광수)
-혼돈의 시장 상황에서 워런 버핏의 '절대 돈을 잃지 마라'는 제1원칙은 투자의 본질이 무엇인지 다시금 일깨워 준다.
투자는 단순히 '많이 버는 것'이 아니라, 냉혹한 시장에서 끝까지 '생존'하는 과정이다. 주식 투자의 기댓값은 수수료와 세금을 고려할 때 기본적으로 마이너스에 가깝다. 이를 플러스로 바꾸기 위해서는 손실은 짧게 끊어내고 이익은 길게 가져가는 전략적 결단이 필요하다. 하지만 손실 회피나 확증 편향 같은 인간의 본능적인 심리는 이성적인 판단을 방해한다.
결국 성공적인 투자를 위해서는 자신의 심리적 오류를 경계하고, 철저한 분산 투자와 분할 매수로 손실 가능성에 대비해야 한다. 변동성이 커진 오늘날의 시장에서 가장 필요한 덕목은 시장의 소음에서 벗어나 기본 원칙을 고수하며 생존을 도모하는 태도이다.</t>
    <phoneticPr fontId="2" type="noConversion"/>
  </si>
  <si>
    <t>“AI는 이제 ‘기대’가 아니라 ‘수요’로 증명되고 있다”
- 반도체 (여전히 중심)
- 서버/CPU (다음 단계)
- 저장 장치 (데이터 폭증 수혜)
- 광통신 (병목 해결)
- 전력 (최종 인프라)</t>
  </si>
  <si>
    <t>【The FIVE】#175-102</t>
    <phoneticPr fontId="2" type="noConversion"/>
  </si>
  <si>
    <t>- 
☞
-  
☞</t>
    <phoneticPr fontId="2" type="noConversion"/>
  </si>
  <si>
    <t>■ Footprints in Books_진보를 위한 주식투자(이광수)
-</t>
    <phoneticPr fontId="2" type="noConversion"/>
  </si>
  <si>
    <t>최근 급격한 투자수익 증가로
마음이 붕뜨고 원칙을 지키기보다
요행을 바라며 투자를 하게된다.
금융 디톡스가 필요하다.
한주간 주식 매수 매도를 중단하고
시장을 관망하며 초심을 회복하자!</t>
    <phoneticPr fontId="2" type="noConversion"/>
  </si>
  <si>
    <t>■ [Q.T묵상] 룻기 4:13~22</t>
    <phoneticPr fontId="2" type="noConversion"/>
  </si>
  <si>
    <t>(룻기 4:18-22) 베레스의 계보는 이러하니라 베레스는 헤스론을 낳고19 헤스론은 람을 낳았고 람은 암미나답을 낳았고 암미나답은 나손을 낳았고 나손은 살몬을 낳았고 살몬은 보아스를 낳았고 보아스는 오벳을 낳았고 오벳은 이새를 낳고 이새는 다윗을 낳았더라
☞하나께서 이끌어 가시는 인간의 역사 가운데, '룻'이라는 이방 여인의 의롭고 선한 삶이 얼마나 중요하고 크게 사용되었는가를 깨닫게 된다. '나' 라는 작고 작으며 미미한 존재라 할지라도, 하나님께서 함께하시고, 또 내가 하나님 뜻 안에서 의롭게 살기위해 노력한다면 하나님께서는 인간의 큰 역사도 '나'라는 작은 존재를 사용하여 세워신다. 하나님, 저는 60억 인간중  작고 가난하고 연약하고 부족한 한명의 인간입니다. 저의 존재 의미를 저는 알지 못하지만, 하나님께서는 알고 계십니다. 하나님께서는 저를 향한 계획을 가지고 계십니다. 주님, 그 계획이 무엇인지 알수 없지만, 주님을 신뢰합니다. 저를 이끌어주옵소서. 주님께서 이끄시는 그것으로 따라가며, 주님과 동행하는 인생이 되겠습니다. 아멘.</t>
    <phoneticPr fontId="2" type="noConversion"/>
  </si>
  <si>
    <t xml:space="preserve"> 1. 오늘도 즐겁고 기대되는 하루가 될수 있어 감사합니다. 
 2. 저희 가정에 자녀를 허락하시고, 하남매를 통해 행복을 누리게 하시니 감사합니다.
 3. 날마다 Q.T를 통해 내 삶에 역사하시고 인도하시는 하나님을 깨닫게 하시니 감사합니다.
 4. 인간의 눈에 불확실한 미래를 주께 맡기고 평안히 오늘을 살아가게 하시니 감사합니다.
 5. 경제적 어려움을 투자를 통해 도움이 되게 하시고, 소망을 갖게 하시니 감사합니다.
 6. 하남매가 합창단원으로 활동하며, 오늘 대사관 한인회 행사에서 노래하게되어 감사.
 7. 뭉클 멤버와 라운딩을 다녀왔습니다. 좋은 사람들과 즐거운 시간 감사합니다.
 8. '복리의 마법'은 하나님께서 만드신 '성실'의 원리입니다. 어떤 영역이든, 꾸준히 성실히
    실천함으로 10백, 100배의 소득을 얻게 하옵소서.
 9. 오늘도 최선을 다해서 하루를 보내도록 하겠습니다. 감사합니다. 고맙습니다.</t>
    <phoneticPr fontId="2" type="noConversion"/>
  </si>
  <si>
    <t xml:space="preserve">■ Footprints in Books_진보를 위한 주식투자(이광수)
- 가장 중요한 투자 원칙 : "손실을 줄이고 이익을 늘려야 한다." 일반적으로 사람들은 상황 변화로 인한 심리 변화에 따라 행동한다. 슬프면 울고, 웃기면 웃는 것처럼 심리 변화로 반응하면서 주식투자를 한다. 이에따라, 이익은 빨리 확정 지으려 하고, 손실은 좀 더 지켜보려는 경향이 커진다. 
-  “손실은 최대한 줄이고, 이익은 최대한 늘린다.” 손실을 최대한 줄이기 위해 손절매가 필요하다. 그렇다면 이익을 최대한 늘리기 위해서는 어떻게 해야 할까? 오래 보유해야한다. 투자에서 중요한 건 ‘무엇을 샀느냐’보다 ‘어떻게 행동하느냐’이다. 이 차이는 시간이 지날수록 복리처럼 커집니다. 결국 운이 아니라 행동이 수익을 결정한다. </t>
    <phoneticPr fontId="2" type="noConversion"/>
  </si>
  <si>
    <t>- 손실에서 배워라. 어떤 문제가 생겼을 때, 나는 스스로를 실패자로 여기지 않는다. 나는 그저 내가 지금 이기는 방법을 배우는 중이라고 생각한다 (테드 티너)
- 성공이란 자신의 열정을 잃지 않고 실패를 거듭할 수 있는 능력이다 (에이브러햄 링컨)
- 더 많은 매매를 할수록 손실을 보는 매매 횟수도 함께 늘어난다. 매매를 잘하는 사람은 많은 돈을 벌기도 하지만 많은 돈을 잃기도 한다. 하지만 그들은 손실이 게임의 일부라는 사실을 잘 알고 있다</t>
    <phoneticPr fontId="2" type="noConversion"/>
  </si>
  <si>
    <t>취침 - 23:00
기상 - 05:30</t>
    <phoneticPr fontId="2" type="noConversion"/>
  </si>
  <si>
    <t>【The FIVE】#176-103</t>
    <phoneticPr fontId="2" type="noConversion"/>
  </si>
  <si>
    <t>Back to the Basic!
자극을 원하면 라스베가스로 가라
주식투자는 페인트를 칠하고
마르기를 기다리는 것과 같다
지루한 기다림을 감당할 자신이
없다면 주식시장에서 나가라</t>
    <phoneticPr fontId="2" type="noConversion"/>
  </si>
  <si>
    <t>■ [Q.T묵상] 고전 1:1~17</t>
    <phoneticPr fontId="2" type="noConversion"/>
  </si>
  <si>
    <t>(고린도전서 1:1) 하나님의 뜻을 따라 그리스도 예수의 사도로 부르심을 받은 바울과......
(고린도전서 1:17) 그리스도께서 나를 보내심은 세례를 베풀게 하려 하심이 아니요 오직 복음을 전하게 하려 하심이로되 말의 지혜로 하지 아니함은 그리스도의 십자가가 헛되지 않게 하려 함이라
☞바울은 하나님의 뜻에 의해 예수님의 사도로 부르시을 받았으며, 그리스도께서 자신을 보내셨다라는 확실한 신분의식과 사명의식을 가지고 있다. 바울은 오직 '복음'을 전파하는 일에만 전념한다. 하지만, '복음 전파'를 위해 '논쟁'이나 '설득' 같은 말의 지혜로 하지 않는다. 그리스도의 십자가는 말로 이루어진 것이 아니라, '십자가를 지는 것'으로 이루어진 것이기 때문이다. 
☞Charlie NOh, 너는 어떠한가? 너에게는 하나님 안에서 신분의식과 사명의식이 있는가? 그저 사람들과 '논쟁' 과 '설득' 만 즐기며 그럴싸하게 너의 신앙을 포장하고 있지는 않은가? '오직 예수' .. 이 한마디를 기억하라. '오직' 이란 말은 예수님 외 다른 어떻나 것도 핵심에서 벗어난 다는 것이다. 예수의 십자가를 따르는, '십자가의 삶'만이 예수님과 동행하며, 복음을 전할수 있는 유일한 방법임을 명심하라.</t>
    <phoneticPr fontId="2" type="noConversion"/>
  </si>
  <si>
    <t xml:space="preserve"> 1. 오늘도 즐겁고 기대되는 하루가 될수 있어 감사합니다. 
 2. 매일 아침 눈을 뜨고 즐거운 아침을 맞이 할 수 있음에 감사합니다.
 3. 앞이 보이지 않는 인생의 냉혹함 속에서도 '현재'를 평안으로 살게하심에 감사합니다.
 4. 세상의 기준에서는 풍족하지 않은 인생인데도, 가족들이 신앙 안에서 검소하고 성실하게,
    예배 중심, 말씀 중심으로 현재을 감사하면 살게 하심에 감사합니다.
 5. 매일 저녁 미아(아내의 영어이름)와 하남매가 성경을 함께 읽는 습관을 주심에 감사.
 6. 룻기 필사를 진행하고 있는데, 하남매가 룻기를 통해 큰 배움이 있기 원합니다.
 7. 제가 좀더 건강에 집중할 수 있기 원합니다. (수면시간 확보, 식단조절, 영양 균형)
 8. 금융 디톡스 1주일을 선포하였습니다. 모든 영역에서 중독되거나 노예가 되지 않고,
    정복하고 다스리는 주의 사명을 감당하기 원합니다. 
 9. 오늘도 최선을 다해서 하루를 보내도록 하겠습니다. 감사합니다. 고맙습니다.</t>
    <phoneticPr fontId="2" type="noConversion"/>
  </si>
  <si>
    <t xml:space="preserve">■ Footprints in Books_진보를 위한 주식투자(이광수)
- '좋은 회사'와 '좋은 투자' 를 혼동해서는 않된다.
☞ 많은 투자자들이 ‘좋은 기업’이라면 ‘언젠가 오를 것’이라고 믿는다. 하지만 아무리 훌륭한 회사라도 주가가 이미 미래 가치를 선반영했다면, 더 오르지 않을 수도 있다. 그러나 확증편향에 빠진 투자자는 그 사실을 인정하지 않는다. ‘이 회사는 탄탄해, 결국 오를 거야’라는 생각만 반복한다. '좋은 회사'와 '좋은 투자'는 다른 것이다!
- '남의 수익'보다 '나의 원칙'을 더 중요하게 여겨야한다. (남과의 비교는 금물!)
시장은 언제나 기회를 준다. 단지 모든 기회를 다 잡을 필요는 없다. 남들의 수익과 비교하지 마라. 진짜 투자자는 ‘놓쳐도 괜찮다’고 생각하는 사람이다. 오히려 아무것도 하지 않는 시간이 더 좋은 기회를 준비하는 시간일 수 있다. </t>
    <phoneticPr fontId="2" type="noConversion"/>
  </si>
  <si>
    <t>이제는 GPU, HBM 메모리, 전력, 데이터센터, 희토류, 그리고 AI 컴퓨팅 파워가 국가 경쟁력이 되는 시대다.
미국은 이를 누구보다 빠르게 이해했고, 중국 의존도를 줄이며 우방국 중심으로 AI 공급망을 재편하기 시작했다. 그 흐름 속에서 등장한 개념이 바로 Pax Silica다.
Pax는 ‘질서’, Silica는 반도체의 핵심 소재인 실리콘을 의미한다. 결국 Pax Silica는 “AI 시대의 질서를 실리콘과 컴퓨팅 파워 중심으로 재구축하겠다”는 의미.</t>
    <phoneticPr fontId="2" type="noConversion"/>
  </si>
  <si>
    <t>【The FIVE】#177-104</t>
    <phoneticPr fontId="2" type="noConversion"/>
  </si>
  <si>
    <t>주식투자는 결국 
자신과의 싸움이다
어떠한 선택도 후회는 남는다
중요한 것은 이것이다.
'원칙을 지켰는가'
'계획대로 움직였는가'</t>
  </si>
  <si>
    <t>■ [Q.T묵상] 고전 1:18~25</t>
    <phoneticPr fontId="2" type="noConversion"/>
  </si>
  <si>
    <t xml:space="preserve">(고린도전서 1:18, 22-25) 18 십자가의 도가 멸망하는 자들에게는 미련한 것이요 구원을 받는 우리에게는 하나님의 능력이라......22 유대인은 표적을 구하고 헬라인은 지혜를 찾으나23 우리는 십자가에 못 박힌 그리스도를 전하니 유대인에게는 거리끼는 것이요 이방인에게는 미련한 것이로되24 오직 부르심을 받은 자들에게는 유대인이나 헬라인이나 그리스도는 하나님의 능력이요 하나님의 지혜니라25 하나님의 어리석음이 사람보다 지혜롭고 하나님의 약하심이 사람보다 강하니라
☞나 또한 유대인과 헬라인 처럼, 하나님께서 내 인생에 기적을 행해주시길 간구하며, 또 나를 지혜롭게 하여 내게 닥친 모든 일을 잘 해결하고 회사에서나 사회적 관계에서나 우위를 차지하고 싶은 욕구가 있다. 하지만, 하나님은 말씀하신다. 세상이 미련하다고, 어리석다고, 실패자라고 하는 '예수 십자가'가 하나님 안에서는 구원의 능력이고 하나님의 지혜이다, 죽음이 곧 생명이 되고, 패배가 곧 승리가 되는, 이러한 하나님의 지혜는 세상사람들의 눈과 머리로는 결코 발견해 낼 수 없다. 나 또한 예수님의 십자가의 도를 따르며 세상이 나를 어리석다고 할때 기뻐하고, 나를 패배자라고 할때 감사하는 삶을 살아가길 원한다 </t>
    <phoneticPr fontId="2" type="noConversion"/>
  </si>
  <si>
    <t xml:space="preserve"> 1. 오늘도 즐겁고 기대되는 하루가 될수 있어 감사합니다. 
 2. 믿음의 동역자들과 함께 교제하고 나누며 서로의 삶을 격려하니 감사합니다.
 3. 하음이가 스스로 피아노를 배우고 연습하며 멋진 연주를 할수 있어 감사합니다. 
 4. 하민이가 어디선가 배운 카드마술을 보여주며 기뻐하하는 모습이 행복하고 감사합니다.
 5. 오늘 찬양팀 곡  '큰 길을 만드시는 주' 찬양에 큰 감동을 받았습니다. 비록 내게 보이지 않아도, 비록 내게 느껴지지 않아도, 주님은 일하십니다. 주님은 결코 멈추지 않으십니다. 성실하고 신실하신 주님께 감사와 찬양을 드립니다.
 6. 주님, 저로 제자의 삶, 십자가를 지는 삶을 살게 하옵소서.
 7. 온전히 하나님께 제 인생을 맡기고, 하나님께서 일하심에 있어 도구가 되게 하옵소서.
 8. 오늘도 최선을 다해서 하루를 보내도록 하겠습니다. 감사합니다. 고맙습니다.</t>
    <phoneticPr fontId="2" type="noConversion"/>
  </si>
  <si>
    <t>■ Footprints in Books_진보를 위한 주식투자(이광수)
- 주식투자는 결국 자신과의 싸움이다. 공포와 탐욕, 불안과 조급함을 다스리지 못하면 어떤 정보나 분석도 소용이 없다. 남의 속도가 아니라 자신의 속도로 가는 법을 배우는 일이다. 그것이 장기적으로 살아남는 투자자의 태도이다.
-  ‘팔았는데 오르면?’ ‘안 팔았는데 떨어지면?’ 상상만으로도 아픕다. 그래서 손가락이 멈춘다. 그러나 어떤 선택에도 후회는 남는다. 차이는 단 하나. 원칙을 지켰는가? 계획대로 움직였는가? 결과는 통제할 수 없지만, 과정과 절차는 통제할 수 있다. 매도는 결과의 사건이 아니라, 과정과 절차의 결과이다. 투자 원칙에 따라 과정과 절차를 지켜나가야 하는 이유가 여기에 있다.</t>
    <phoneticPr fontId="2" type="noConversion"/>
  </si>
  <si>
    <t>그동안 AI 메모리라고 하면 대부분 HBM만 떠올렸는데, 실제로 AI 데이터센터는 계층형 메모리 구조로 움직인다.
HBM/DRAM → 실시간 연산 , NAND SSD → 체크포인트·벡터DB·캐시, HDD → 장기 저장 이런 구조다.
특히 AI 에이전트 시대에는:기억 유지장문맥 저장 벡터 데이터 증가, 추론 캐시 증가가 폭발적으로 늘어난다.
결국 SSD 역시 AI 인프라 핵심 계층으로 올라오고 있는 셈이다.</t>
    <phoneticPr fontId="2" type="noConversion"/>
  </si>
  <si>
    <t>【The FIVE】#178-105</t>
    <phoneticPr fontId="2" type="noConversion"/>
  </si>
  <si>
    <t>감정'이 흔들릴때 물어야한다
'방향이 올바른가?'
'원칙을 지켰는가?
그렇다면, Charlie NOh!!
차트 그만보고
고개 쳐박고 책이나 일어!!</t>
  </si>
  <si>
    <t>■ [Q.T묵상] 고전 1:26~31</t>
    <phoneticPr fontId="2" type="noConversion"/>
  </si>
  <si>
    <t>(고린도전서 1:26-28) 26 형제들아 너희를 부르심을 보라 육체를 따라 지혜로운 자가 많지 아니하며 능한 자가 많지 아니하며 문벌 좋은 자가 많지 아니하도다27 그러나 하나님께서 세상의 미련한 것들을 택하사 지혜 있는 자들을 부끄럽게 하려 하시고 세상의 약한 것들을 택하사 강한 것들을 부끄럽게 하려 하시며28 하나님께서 세상의 천한 것들과 멸시 받는 것들과 없는 것들을 택하사 있는 것들을 폐하려 하시나니
☞나에게는 '상대적', '대결구도적'인 가치관이 있다. 지금까지는 이 말씀을 통해, '미련하고 약한' 내가 하나님께 선택받아 '세상의 지혜인느 자들과 강한 자들'을 보기좋게 이기고 그들보다 더 잘나고 멋지게 될수 있다 라는 생각을 해왔고, 그것을 위로 삼았다. 하지만, 오늘 성령님께서는 내게 다른 마음을 주신다. 타인과의 비교, 상대적 행복감, 승리감은 의미가 없다. 육체를 따라 지혜롭고 능한자들이라도 예수님 없이는 얻을 수 없는 '구원'이 세상의 미녀하고 연약하고 천한 자들이라도 오직 예수로 인해 '구원'을 얻을 수 있다. '지혜있는 자와 미련한 자의 대결'이 아닌 것이다. 주님, 가난하고 부족하고, 미련하며 연약한 저를 택하시고, 구원의 길로 인도해주심에 감사합니다. 타인과의 비교하는 삶이 아닌, 오직 절대적 가치관을 가지고 주님 바라보는 삶 살게하옵소서.아멘.</t>
    <phoneticPr fontId="2" type="noConversion"/>
  </si>
  <si>
    <t xml:space="preserve"> 1. 오늘도 즐겁고 기대되는 하루가 될수 있어 감사합니다. 
 2. 몸상태가 좋지 않아 병원에거 닝겔을 맞고 약을 먹고 잤는데, 아침에 아주 상쾌하게 일어날 수 있었습니다. 좋은 의사와 약을 통해 회복 시켜주심에 감사합니다.
 3. 하나님께서 주신 성전인 이 육체의 건강을 위해 파수꾼으로서 최선을 다하겠습니다.
 4. 잠자리에 누워 노아(아들)와 삶을 살아가는데 필요한 '창의력'에 대해서 함께 나누었습니다. 인체의 신비한 구조를 통해 하나님이 이 세상을 얼마나 창의력있게, 얼마나 신묘막측하게 만드셨는지 감탄하고 그러한 창조의 하나님과 깊은 교제를 통해 하나님의 창의력을 배울수 있고, 하나님께서 부어주시는 그 창의력은 세상조차 감당할 수 없는 엄청난 능력이 된다는 말에 노아(아들)도 공감하였습니다. 하나님께서 지으신 모든 세계에서 하나님의 손길을 느끼게 하시니 감사합니다. 노아가 평생을 하나님과 동행하며 말씀대로 살아가며, 세상을 이기는 믿음의 사람으로 성장하여 하나님의 도구로 사용되게 하옵소서. 아멘.</t>
    <phoneticPr fontId="2" type="noConversion"/>
  </si>
  <si>
    <t>■ Footprints in Books_진보를 위한 주식투자(이광수)
-사람은 언제나 흔들립니다. 지식보다 감정이 앞서고, 분석보다 본능이 빠릅니다. 주식투자도 결국 심리의 싸움입니다. 시장은 이성을 시험하는 공간이고, 감정을 드러내는 거울입니다. 주가는 변하지만, 인간의 감정은 잘 변하지 않습니다. 탐욕은 항상 늦게 멈추고, 두려움은 항상 일찍 시작됩니다. 그 사이에서 투자자는 같은 실수를 반복합니다. 대표성 편향, 확증편향, 후회회피, 손실회피 등 감정 편향의 이름은 다르지만 뿌리는 하나입니다. “감정이 판단을 대신할 때 생기는 착각.” 투자는 정보의 싸움이 아닙니다. 자신의 감정을 통제할 수 있는 사람과 그렇지 못한 사람의 싸움입니다. 그래서 워런 버핏은 말했습니다. “시장을 이기는 법은 감정을 이기는 법이다.” 그는 수십 년간 같은 원칙을 지켰습니다. 흥분할 때 멈추고, 두려울 때 담았습니다. 두려움에 팔지 않았고, 탐욕에 취하지 않았습니다. 그의 가장 큰 재능은 분석이 아니라 인내였습니다. 한 걸음씩 절차를 지키며 나아가는 힘이었습니다.</t>
    <phoneticPr fontId="2" type="noConversion"/>
  </si>
  <si>
    <t xml:space="preserve">● 적은 밖에 있는 것이 아니라 내 안에 있는 것이다. 나는 내게 거추장스러운 것을 깡그리 쓸어버렸다. 내가 나를 극복하는 순간, 나는 무적의 '칭기즈 칸'이 되었다 (칭기즈칸 1,162년~1,227년)​
모든 것은 나를 극복하는 순간 이루어 지는 것이다 </t>
    <phoneticPr fontId="2" type="noConversion"/>
  </si>
  <si>
    <t>【The FIVE】#179-106</t>
    <phoneticPr fontId="2" type="noConversion"/>
  </si>
  <si>
    <t>파도를 만드는 '바람'
눈에 보이지 않지만
방햐과 흐름을 만드는 근원
'바람'을 이해하자</t>
    <phoneticPr fontId="2" type="noConversion"/>
  </si>
  <si>
    <t>■ [Q.T묵상] 고전 2:1~9</t>
    <phoneticPr fontId="2" type="noConversion"/>
  </si>
  <si>
    <t xml:space="preserve">(고린도전서 2:4-5)4 내 말과 내 전도함이 설득력 있는 지혜의 말로 하지 아니하고 다만 성령의 나타나심과 능력으로 하여5 너희 믿음이 사람의 지혜에 있지 아니하고 다만 하나님의 능력에 있게 하려 하였노라
☞회사 동료들이나 친구들에게 예수님을 전할 때, 여러 반론에 부딛힌다. 평소 성경에 대한 지식이 많이 있다고 생각하는 나는, 그 반론에 조목조목 이야기해주지만, 결국 그 대화의 끝은 논쟁과 설득으로 끝날 뿐, 은혜와 성경의 감동은 없다. 나의 성경적 지식과 해명, 변론이 아닌, 예수님을 만나고 삶이 변화된 증인의 삶을 선포하자. 나의 삶은 예수님 만나기 전과 후로 완전한 변화를 겪었다. 소망없던 인생에 소망이 생겼고, 갈길 몰라 방황하던 인생에 비전을 주셨다. 인생의 허망함과, 참된 가치의 양명성을 알게 되었고, 허망한 이생을 쫒지 않고 십자가를 지는 제자의 삶을 간구하는 마음을 주셨다. 성령 충만으로 세상의 일에 있어서도 탁월함을 갖게 하셨고, 또 믿음의 동역자들과 즐겁고 기쁘쁜 교제를 누리는 삶을 주셨다. 예수님의 변호사가 아닌, 예수님의 증인이 되어 내가 보고, 겪었던 모든 것들을 당당하게 확증하자. </t>
    <phoneticPr fontId="2" type="noConversion"/>
  </si>
  <si>
    <t xml:space="preserve"> 1. 오늘도 즐겁고 기대되는 하루가 될수 있어 감사합니다. 
 2. 어제 닝겔을 맞고 잠도 일찍 자면서 오늘 컨디션이 회복되어 감사합니다.
 3. 한국에서 잠시 북경 방문한 양회 혜진이와 양회 멤버들 저녁에 얼굴봐서 기뻤습니다.
 4. 오늘 주식시장이 침체되었는데, 동용하지 않고 차분히 책을 읽게되어 감사합니다.
 5. 오늘부로 올해 16권째 책을 읽기 시작했습니다. 독서의 기쁨을 주심에 감사합니다.
 6. 친구들에게 새벽읠 깨우는 삶의 가치와 즐거움에 대해 공유하였습니다. 모두들 관심있어 하는 눈치이나 실천하려는 사람은 적습니다. 매일 실천하는 힘을 주심에 감사합니다.
 7. 주식시장에서 파도가 아닌 바람을 볼 수 있게 되기를 원합니다.
 8. 금융공부를 통해 세상의 변화를 읽고, 큰 흐름을 이해하게 되어 감사합니다.
 9. 오늘도 최선을 다해서 하루를 보내도록 하겠습니다. 감사합니다. 고맙습니다.</t>
    <phoneticPr fontId="2" type="noConversion"/>
  </si>
  <si>
    <t>주식투자로 부자됩시다(박세익)</t>
    <phoneticPr fontId="2" type="noConversion"/>
  </si>
  <si>
    <t>■ Footprints in Books_주식투자로 부자됩시다(박세익)
-“나는 사람의 얼굴을 봤을 뿐, 시대의 얼굴을 보질 못했소.” 《관상》의 주인공 내경의 이 대사는 우리가 매일 마주하는 흔한 실수를 꼬집는다. 시장에는 매일 파도가 출렁인다. 기술적 분석은 파도를 읽는 도구다. 하지만 파도는 하루에도 수십 번 방향을 바꾼다. 정말로 중요한 건, 파도를 만든 ‘바람’이 어디서 불어오는지를 아는 일이다. 바람은 금리에서 시작해 유동성으로 증폭되고, 기업 이익으로 현실화되며, 시장 밸류에이션과 환율 속에서 방향을 드러낸다. 그래서 우리는 매수 버튼을 누르기 전에 반드시 물어야 한다. 이 종목은 실적이 실제로 늘고 있는가? 금리와 유동성은 어느 쪽을 향하고 있는가? 시장 전체가 지금 싸다고 느끼는가, 혹은 너무 비싸다고 느끼는가? 무엇보다 중요한 건 이 기업이 지금 시대의 요구를 충족시키고 있는가다. ‘파도’를 읽는 기술은 일시적인 수익만 안겨 준다. 진짜 승자는 ‘바람’을 읽는 사람이다.</t>
    <phoneticPr fontId="2" type="noConversion"/>
  </si>
  <si>
    <t xml:space="preserve">● 하루를 주도적으로 시작하는 경험은 꽤나 유쾌할 것이며 무언가 채워진 느낌으로 하루를 시작할 수 있을 것이다. 루틴은 '집중을 만드는 장치'. 루틴이 생기면 실행은 쉬워진다.
●확언은 사소한 언행으로부터 시작되며, 이것의 누적이 한 인간의 정체성을 만든다 시간은 나는 것이 아니라 내는 것이다 
●'적당히'라는 단어를 삭제하라, 성공은 '적당히'를 지우는 순간부터 시작된다 </t>
    <phoneticPr fontId="2" type="noConversion"/>
  </si>
  <si>
    <t>취침 - 23:10
기상 - 05:20</t>
    <phoneticPr fontId="2" type="noConversion"/>
  </si>
  <si>
    <t>【The FIVE】#180-107</t>
    <phoneticPr fontId="2" type="noConversion"/>
  </si>
  <si>
    <t>시세창은 닫고, 책을 펴자
파도를 보지말고
파도를 만드는 바람을 읽자</t>
  </si>
  <si>
    <t>■ [Q.T묵상] 고전 2:10~16</t>
    <phoneticPr fontId="2" type="noConversion"/>
  </si>
  <si>
    <t>(고린도전서 2:12) 12 우리가 세상의 영을 받지 아니하고 오직 하나님으로부터 온 영을 받았으니 이는 우리로 하여금 하나님께서 우리에게 은혜로 주신 것들을 알게 하려 하심이라
☞태초에 하나님께서 세상을 창조하시고, 자기 형상을 따라 인간을 지으셨다. 그리고 인간과 친밀히 교제하며 세상을 다스리게 하셨다. 하지만, 사탄은 하나님이 가장 사랑하는 인간을 속여 죄인으로 만들었다. 완전한 '선' 이신 하나님은 '죄'와 함께 할수 없으셨다. 하나님과 인간의 관계는 깨졌고, 인간은 하나님을 떠나 방황했다. 인간은 죄로인해 교만하여 하나님같이 높아지고 싶어했지만, '죄의 삯은 사망'이라는 죽음의 운명을 받아들일 수 밖에 없는 존재가 되었다. '죽음'의 의미는 그를 창조하신 창조주 하나님과 영원히 함께 할수 없다는 의미이다. 마치 친 부모님과 영원히 만날수 없는 고아가 된 것처럼. 그런데, 2천년 전, 저 멀리 이스라엘이라는 곳에서 한 청년이 십자가에 못박혀 죽었다. 그는 하나님의 아들이었고, 인간의 죄를 대신해 죽었다고 한다. 그를 믿는자 마다 죄를 용서받고 하나님과 다시 치밀히 교제할수 있게 되었다. 죽음으로 치닫는 인간에게 구원의 선물을 주신 것이다. 이러한 말도 않되는 일이 믿어진다면, 그것이 곧 '성령'께서 깨닫게 하시는 것이다.</t>
    <phoneticPr fontId="2" type="noConversion"/>
  </si>
  <si>
    <t xml:space="preserve"> 1. 오늘도 즐겁고 기대되는 하루가 될수 있어 감사합니다. 
 2. 가족들이 아픈 곳 없이 건강하게 생활할 수 있음에 감사합니다.
 3. 노아(아들)가 어성경 공부를 통해서 하나님을 더 깊이 알아감에 감사합니다.
 4. 노엘(딸)이 스스로 피아노 연습을 하며 즐겨함에 감사합니다. 
 5. 미아(아내)가 퇴근하고 온 저를 붙잡고 재잘재잘 오늘 있었던 일을 말해주니 감사합니다.
 6. The FIVE 실천하는 것이 기쁨이 되게 하시니 감사합니다. 
 7. 충분한 잠과 영양제 복용, 운동을 통해 건강이 회복됨을 느낍니다. 감사합니다. 
 8. 투자 포트폴리오가 참 마음에 듭니다. 저의 주식텃밭이 아름답게 꾸며짐에 감사합니다.
 9. 독서를 통해 배움을 얻게 되고, 배움을 통해 확신을 갖게되니 감사합니다.
10. 오늘도 최선을 다해서 하루를 보내도록 하겠습니다. 감사합니다. 고맙습니다.</t>
    <phoneticPr fontId="2" type="noConversion"/>
  </si>
  <si>
    <t>■ Footprints in Books_주식투자로 부자됩시다(박세익)
- 성공적인 투자를 위해서는 일시적 시세 변동에 일희일비하지 말아야 한다. 장중 주가는 수급의 일시적 충돌로 변동할 뿐 기업의 본질은 쉽게 변하지 않기 때문이다. 많은 이들이 시세창만 보면서, 자신이 투자를 하고 있다고 믿고 있다. 하지만, 작은 시세 변화에도 흔들리는 이유는 스스로 밸류에이션을 수행하지 않아 확신이 부족하기 때문이다. 따라서 뉴스, 공시, 리포트 등 가용한 모든 정보를 분석하여 기업의 가치를 스스로 평가하고, 주가가 그 가치에 도달할 때까지 인내하며 기다려야 한다. 앙드레 코스톨라니의 비유처럼 주가는 산책하는 개와 같아서 일시적으로 앞서거니 뒤서거니 할 수 있지만, 결국 주인인 기업의 가치로 수렴하게 되어 있다. 또한 진정한 투자자로 성장하기 위해 하루에 얼마나 읽는지, 내용을 제대로 정리하는지, 그리고 그것이 실제 투자에 도움이 되는지 끊임없이 자문하며 공부하는 태도를 갖추어야 한다. 결국 투자의 핵심은 감정이 아닌 철저한 분석을 통한 확신에 있다.</t>
    <phoneticPr fontId="2" type="noConversion"/>
  </si>
  <si>
    <t>"나를 죽이지 못하는 고통은 나를 더 강하게 만든다" 
&lt;니체&gt;
- 성공한 이들의 공통점은 명확하다. 어떠한 문제가 생기더라도 '내가 잘못해서'라며 잘못을 시인한다 
- 내가 해결해야 하는 문제라고 생각하자. '탓'이라는 내 안의 적을 굴복시키는 순간, 우리는 비로소 우리 인생의 주인이 될 것이다.</t>
    <phoneticPr fontId="2" type="noConversion"/>
  </si>
  <si>
    <t>【The FIVE】#181-108</t>
    <phoneticPr fontId="2" type="noConversion"/>
  </si>
  <si>
    <t>자기 향상을 위한 노력에는
지나침이 없다</t>
  </si>
  <si>
    <t>■ [Q.T묵상] 고전 3:1~15</t>
    <phoneticPr fontId="2" type="noConversion"/>
  </si>
  <si>
    <t xml:space="preserve">(고린도전서 3:1-3) 1 형제들아 내가 신령한 자들을 대함과 같이 너희에게 말할 수 없어서 육신에 속한 자 곧 그리스도 안에서 어린 아이들을 대함과 같이 하노라2 내가 너희를 젖으로 먹이고 밥으로 아니하였노니 이는 너희가 감당하지 못하였음이거니와 지금도 못하리라3 너희는 아직도 육신에 속한 자로다 너희 가운데 시기와 분쟁이 있으니 어찌 육신에 속하여 사람을 따라 행함이 아니리요
→'육신에 속한자'는 예수님을 아직 믿지 못하는 사람들이다. 이 사람들에게는 어린아이를 대함같이 그 눈높이를 맞춰주고, 또, 행할 수 없는 어려운 영적 요구를 할수 없다. 오직 모이기를 힘쓰고, 주안에서 하나되는 기쁨과 서로 먹고 나누며 일상을 함께 함으로 서로 신뢰를 쌓아나아가, 언젠가 어린 아이가 젖을 떼고 딱딱한 음식도 먹을 수 있을 만큼 성장하면, 딱딱하지만 영양이 더욱 풍부한 음식을 줄수 있다. 
→가장 중요한 것은, 함께 모였을때 시기와 질투와 분쟁을 주의해야한다. 사탄은 '관계를 깨는 자'다 하나님과 우리의 관계도 깨트렸고, 우리와 우리 사이의 관계도 깨트린다. </t>
    <phoneticPr fontId="2" type="noConversion"/>
  </si>
  <si>
    <t xml:space="preserve"> 1. 오늘도 즐겁고 기대되는 하루가 될 수 있어 감사합니다. 
 2. 중1때 처음 만난 자기개발서를 30여년만에 다시 읽게되어 감동하고, 감사합니다. 
 3. 근력운동을 다시 집중해서 하고 있는데, 피곤은 여전합니다. 피로를 해결해주세요.
 4. 하남매(아들과 딸)가 잡아온 금붕어를 며칠간 집에서 키우다가 오늘 호수에 풀어주었습니다. 하남매가 생명의 소중함과 생명에 대한 책임감을 배울 수 있게 해주심에 감사합니다. 
 5. 노아가 영어로 된 수학시험에서 100점을 맞았습니다. 대견하고 자랑스럽다고 칭찬을 많이 해주었습니다. 스스로 노력하고 결실을 맛보는 자녀로 자라나게 해주세요.
 6. 최근 컨디션 난조를 통해 건강의 소중함을 일깨워주시니 감사합니다. 이제는 일찍 잠드는 것에 조금씩 익숙해지고 있습니다. 조금 더 깊은 잠을 잘수 있게 해주세요.
 7. 오늘도 최선을 다해서 하루를 보내도록 하겠습니다. 감사합니다. 고맙습니다.</t>
    <phoneticPr fontId="2" type="noConversion"/>
  </si>
  <si>
    <t>아들아 너는 인생을 이렇게 살아라(필립 체스터필드)</t>
    <phoneticPr fontId="2" type="noConversion"/>
  </si>
  <si>
    <t xml:space="preserve">■ Footprints in Books_아들아 너는 인생을 이렇게 살아라(필립 체스터필드)
- 내인생 첫 자기개발서. 내가 중학교 1학년때 이 책을 처음 만났다. 이 책의 제목과 저자를 지금도 기억하고 있는 걸 보면, 내 청소년기에 큰 영향을 주었을 것이 분명하다. 오늘 이 책을 읽으면서 참 많은 부분이 내 인생에 녹아져 있다는 것을 느꼈다. 신비한 느낌이 들었다. 이 책에서 말하는 가치들이 내가 정말 중요하게 여기는 가치들과 그대로 맞아 떨어졌다. 중1의 노정택이 이 책을 통해서 이런 가치관을 내재화 시켰을까? 그렇게 지금의 가치관을 가진 내가 존재하게 되었을까? 신기할 따름이다. 
- 아들 노아에게 해주고 싶은 이야기들이 가득 담겨있다. 시간의 소중함과 자기 발전을 위한 노력 등 내가 직접 말해주면 잔소리가 될 그 이야기들이 이 책에 아주 잘 정리되어있다. 이제 곧 중1이 되는 아들 노아에게 종이로 된 이 책을 구해서 꼭 선물해줘야겠다. 중1의 노정택이 읽고 느꼈던 그 감동이 노아에게도 동일헤게 전달되면 좋겠다. </t>
    <phoneticPr fontId="2" type="noConversion"/>
  </si>
  <si>
    <t>● 탈피한 우리에게 찾아오는 가장 큰 변화 중 하나는 가난을 해결할 수 있는 힘이 생긴다는 것이다. 그 변화의 속도가 가팔라진다면, 우리는 가족을 돕거나 가난의 대물림을 끊어낼 수 있다 
가난을 돌파하기 위해 가족 구성원 중 적어도 한 명은 알을 깨고 나와야 한다. 위대한 성공은 이성적인 판단이나 천재적인 발상에서 나올 것 같지만 그 모든 기원은 사랑이다.</t>
    <phoneticPr fontId="2" type="noConversion"/>
  </si>
  <si>
    <t>【The FIVE】#182-109</t>
    <phoneticPr fontId="2" type="noConversion"/>
  </si>
  <si>
    <t>주식투자에서 진짜 실력은
동일한 승률을
반복할 수 있는 구조를
만들어내는 것!</t>
  </si>
  <si>
    <t>■ [Q.T묵상] 고전 3:16~23</t>
    <phoneticPr fontId="2" type="noConversion"/>
  </si>
  <si>
    <t>(고린도전서 3:16-17) 너희는 너희가 하나님의 성전인 것과 하나님의 성령이 너희 안에 계시는 것을 알지 못하느냐. 누구든지 하나님의 성전을 더럽히면 하나님이 그 사람을 멸하시리라 하나님의 성전은 거룩하니 너희도 그러하니라
→우리가 편히 쉬는 집은 언제나 깨끗하다. 끔은 지저분해지기도 하지만, 그때마다 깔끔하게 청소를 하고, 정리를 한다. 더러워진 곳은 쓸고 닦는다. 특히, 화장실과 욕실은 더더욱 깨끗하게 청소한다. 깨끗해진 집은 가족 모두가 평안히 쉴수있는 쉼터가 된다.
→우리 개개인은 하나님의 성령이 거하시는 성전이다. 성령이 거하시는 집이다. 때때로, 미워하는 마음, 세상의 욕심, 알고 모르고 지은 죄들로 지저분해지지만, 지저분해졌다고 자각할 때마다 청소를 한다. 성령과 내 마음과 영혼이 편히 거할 수 있는 쉼터로 만들어야 하는 것이다.</t>
    <phoneticPr fontId="2" type="noConversion"/>
  </si>
  <si>
    <t xml:space="preserve"> 1. 오늘도 즐겁고 기대되는 하루가 될 수 있어 감사합니다. 
 2. 편히 쉴수 있는 주말을 맞이하게 됨에 감사합니다. 
 3. 한주간 몸을 먼저 챙기면서 좀더 건강하게 됨을 감사합니다.
 4. 하남매가 스승의 날에 선생님께 감사편지를 썼습니다. 대견하고 감사합니다.
 5. 오늘 문프로님과 라운딩이 있습니다. 날이 흐린데 비오지 않게 해주세요.
 6. 한주간 마음이 분주하여 집중을 못했습니다. 무엇이 문제일까요?
 7. 독서의 즐거움이 나날이 커지는 요즘입니다. 배움의 기쁨에 감사합니다.
 8. 금융 공부를 통해 세상의 변화와 흐름을 깨닫고, 투자자로서 옳바른 판단을 하고 수익을 거둘수 있음에 감사합니다.
 9. 매번 막다른 골목에서 새로운 문을 열어주시는 주님의 도우심과 인도하심에 감사합니다.
10. 오늘도 최선을 다해서 하루를 보내도록 하겠습니다. 감사합니다. 고맙습니다.</t>
    <phoneticPr fontId="2" type="noConversion"/>
  </si>
  <si>
    <t>시장을 꿰뚫는 주식투자의 기술(이주영)</t>
  </si>
  <si>
    <t>■ Footprints in Books_시장을 꿰뚫는 주식투자의 기술(이주영)
- 주식 시장에서 살아남으려면 한두 번의 적중이 아니라 동일한 승률을 반복할 수 있는 구조를 갖춰야 한다. 
- 주식 투자는 가능성의 영역에 베팅하는 것이다. 가능성이 큰 구간에서는 큰 비중으로 투자하고, 가능성이 작은 자리라면 관망하거나 작은 비중으로 투자한다. 
- 주식 투자에는 공부하기 싫어하는 개인 투자자가 가장 선호할 만한, ‘이렇게 하면 무조건 돈 번다’라는 절대 기법은 존재하지 않는다. 주가 흐름의 원리와 특성, 대중의 심리, 기업과 산업, 기술적 분석 등을 전혀 공부하지 않고 수익을 바라는 것은 총탄이 빗발치는 전쟁터에 빈손으로 나가 싸우려는 것과 같다. 주식 투자는 운이 아닌 실력에 좌우되며, 내가 공부하고 가다듬은 것들을 실전에 적용해 ‘이렇게 했더니 돈이 벌리더라’를 입증하면서 투자 원칙과 수익 모델을 찾아가는 과정이다.</t>
    <phoneticPr fontId="2" type="noConversion"/>
  </si>
  <si>
    <t>→AI는 하나의 유행이 아니라 새로운 산업혁명이다.
다만 그 변화를 이해하는 사람과 그렇지 못한 사람의 차이는, 결국 기회를 보느냐 놓치느냐의 차이로 이어진다.
나는 지금 이 거대한 산업혁명의 순간을 직접 살아가고 있다는 사실 자체에 감사할 뿐이다.</t>
    <phoneticPr fontId="2" type="noConversion"/>
  </si>
  <si>
    <t>【The FIVE】#183-110</t>
    <phoneticPr fontId="2" type="noConversion"/>
  </si>
  <si>
    <t>평안 속에서 천천히 걷자
그분의 손길을 느끼며 걷자
바다로 반석되게 하신
그분과 동행하자</t>
    <phoneticPr fontId="2" type="noConversion"/>
  </si>
  <si>
    <t>■ [Q.T묵상] 고전 4:1~8</t>
    <phoneticPr fontId="2" type="noConversion"/>
  </si>
  <si>
    <t>(고린도전서 4:5) 그러므로 때가 이르기 전 곧 주께서 오시기까지 아무 것도 판단하지 말라 그가 어둠에 감추인 것들을 드러내고 마음의 뜻을 나타내시리니 그 때에 각 사람에게 하나님으로부터 칭찬이 있으리라
- 사람들의 판단으로 인해 마음이 힘들 때 나는 어떻게 하나요?
→사람들이 나에 대해서 오해할 때 참 괴롭고 힘들지만, 그 사람들을 일일히 찾아다니며, 구차한 설명을 늘어놓아봐야, 그 오해는 해결되지 않는 걸 안다. 이러한 상황에서 나는 나자신에게 먼저 묻는다. 그 오해가 '오해'인가 아니면 실제 나의 문제인가.. 실제 나의 문제라면, 반성하고 고치기로 결심한다. 그 오해가 그저 '오해'라면, '진심'은 통한다는 믿음을 가지고 기다린다. 진심이고 진실이었다면, 언젠가 사람들은 알게 될테니까. 
그리고, 하나님 앞에 가서 위로를 구한다. 사람들로부터 받은 억울함에 대해서 쿨하게 넘기기에는 내 마음이 그렇게 단단하지가 않다. 힘들고 괴로운 마음은 하나님께 위로를 구한다. 하나님은 내 마음을 다 하시는 분이니까.</t>
    <phoneticPr fontId="2" type="noConversion"/>
  </si>
  <si>
    <t xml:space="preserve"> 1. 오늘도 즐겁고 기대되는 하루가 될 수 있어 감사합니다. 
 2. 어제 순모임을 통해 마음의 어려움과 연약한 부분을 나눌수 있어 감사합니다.
 3. 찬양팀으로 섬기게 하시니 감사합니다. 힘들고 지칠때 찬양으로 위로하시고 새 힘을 주시니 감사합니다. 섬김은 누구를 위함이 아닌, 바로 나를 위한 하나님의 인도하심 입니다. 
 4. 투자를 통해 배움과 수익이 함께 자라나게 하시니 감사합니다. 이렇나 성장의 축복을 섬김을 위해 사용하게 하사, 섬기는 자로서의 삶을 살게 하옵소서.
 5. 하나님께서 제 인생에 이루신 기적들을 매일 세어보고, 기록하고, 감사하고 영광을 돌리게 하옵소서. 크신 하나님이 저와 함께 하심을 제 영혼이 분명히 알게 하옵소서.
 6. 주님, 바다 위를 반석위를 걷듯 믿고 나아갑니다.
 7. 주님의 축복을 믿고 기다리게 하옵서서. 기다리는 가운데, 불안하지 않게 하시고, 주어진 저의 책무를 성실히 주께 하듯 최선을 다하게 하솝송.</t>
    <phoneticPr fontId="2" type="noConversion"/>
  </si>
  <si>
    <t>코스피 1만 넥스트 레벨(박시동)</t>
    <phoneticPr fontId="2" type="noConversion"/>
  </si>
  <si>
    <t xml:space="preserve">■ Footprints in Books_코스피 1만 넥스트 레벨(박시동)
- 공부'는' 하자. 최소한의 지식은 있어야만 소중한 자산을 지킬 수 있다. 구멍가게 하나를 열어도 백방으로 알아보는데....
- 행운을 바라지 말자. 1회성 수익은 그저 행운일 뿐, 행운은 자주 오지 않는다. 수익을 창출하는 구조를 만들어야한다.
- 조급함이라는 독을 버리자. 욕심은 원칙을 무너트린다. 냉혹한 주식시장에서 원칙이 무너지면 곧 먹잇감이 된다. 
- 부자되기 vs. 부자로 남기 : 수익을 창출할 수 있는 구조를 만들면, 부자로 나아있을 수 있다
- 멘탈은 삭제되는 것. 멘탈은 관리될 수가 없다. 고통이 익숙해지지 않는 것처럼. 멘탈과 관계없는 원칙과 구조적 투자를 하자.
- 투자자는 '갑'이다. '을'이 아니다. 세계적인 거대 기업들의 주식도 내가 사고싶으면 사는 것이고 팔고 싶으면 파는 것이다. 매수/매도에 있어서, 확실한 지식을 기반으로 과감해질 필요가 있다. </t>
    <phoneticPr fontId="2" type="noConversion"/>
  </si>
  <si>
    <t>→복리를 실현하려면 시간이 필요하다. 하지만 인간은 지루함과 불확실성에 취약하다 
→'이 주식을 이 가격에 다시 살 수 있겠는가?'라는 질문을 던져라 
→나는 지금 시장이 AI 혁명의 초입에 있다고 생각한다.</t>
    <phoneticPr fontId="2" type="noConversion"/>
  </si>
  <si>
    <t>【The FIVE】#184-111</t>
    <phoneticPr fontId="2" type="noConversion"/>
  </si>
  <si>
    <t>내 삶이 하나님의 주권과 통치가
적용되는 하나님의 영토임을
선포합니다.</t>
  </si>
  <si>
    <t>■ [Q.T묵상] 고전 4:9~21</t>
    <phoneticPr fontId="2" type="noConversion"/>
  </si>
  <si>
    <t xml:space="preserve">(고린도전서 4:15-16) 그리스도 안에서 일만 스승이 있으되 아버지는 많지 아니하니 그리스도 예수 안에서 내가 복음으로써 너희를 낳았음이라. 그러므로 내가 너희에게 권하노니 너희는 나를 본받는 자가 되라
→사도 바울은 온 세계 인류를 걱정하지 않는다. 사도 바울은 자신이 영적으로 낳은 아들들, 곧 자신이 세운 교회의 성도들을 주안에서 바르게 세우고 바른 믿음을 갖게 하기 위해 애쓰고 노력한다. 아버지의 마음으로 자녀가 건강하고 지혜롭게 성정하여 자신의 몫을 다 할수 있기를 바라는 마음으로, 삶의 본, 신앙의 본을 보이며 때로는 매로, 때로는 사랑과 온유한 마음으로 영적 자녀들을 권한다. 
→나는 어떠한가.. 나의 육체의 자녀와 영적 자녀, 영적 동역자들을 위해 애쓰고 노력하는가? 아버지의 마음으로 그들의 영적, 전인격적 성장을 위해 본을 보이고, 애쓰고 노력하는가? 나는 나의 문제에만 매몰되어, 모든 관심이 나 자신의 영역만 머물고 있지 않은가. 내가 내 자신의 영역에만 머물고 있는 것은 믿음이 부족한 탓이다. 내 삶의 문제를 주께서 주관하신다는 믿음이 있다면, 모두 주님께 맡기고 주님의 일을 할수 있게 된다. 주님, 아버지의 마음을 갖게 하시고, '나'의 세계에서 벗어나 주님의 마음, 아버지의 마음을 품게 하옵소서. 아멘. </t>
    <phoneticPr fontId="2" type="noConversion"/>
  </si>
  <si>
    <t xml:space="preserve"> 1. 오늘도 즐겁고 기대되는 하루가 될 수 있어 감사합니다. 
 2. 주말에 푹 쉬며 영적으로, 육적으로 충전할 수 있어 감사합니다. 
 3. 새벽에 따뜻한 차잔한과 Q.T 말씀, 독서를 통해 소중한 시간을 누리게 하시니 감사.
 4. 투자 공부를 통해 세상의 변화를 이해하고, 날마나 성장하고 있음에 감사합니다.
 5. 말씀과 찬양, 기도로 삶을 초점을 주님께 맞추고, 마음을 새롭게 해주심에 감사합니다.
 6. 며칠 전부터 이명 증상이 생겼는데, 생활 습관을 통해 치유되게 해주세요.
 7. 골프에 진보가 있고, 골프를 통해 동역자들과 즐거움을 누리게 하심에 감사합니다.
 8. 노아에게 '오빠의 마음'을 품도록 권면하였습니다. 노아와 노엘이 서로 연약함을 보듬고 품어주며, 특히 노아가 오빠로서 동생을 용납하고 인내해주는 아이가 되게 해주세요.
 9. 저도 '아비의 마음'을 품고 육체의 가족뿐만 아니라, 영적인 가족도 섬기게 해주세요.
10. 오늘도 최선을 다해서 하루를 보내도록 하겠습니다. 감사합니다. 고맙습니다.</t>
    <phoneticPr fontId="2" type="noConversion"/>
  </si>
  <si>
    <t>- 결국 수익의 차이는 정보의 양보다 해석의 수준에서 갈린다. 시장이 진짜로 요구하는 것은 종목 추천이 아니라, 시대를 읽는 틀이다 
- 여전히 주도주를 사라. 투자에서 가장 중요한 것은 가격의 높낮이가 아니라 방향이다. 바다의 파도에 휩쓸릴 것인가? 아니면 그 파도를 만들어내는 흐름을 이해할 것인가?</t>
    <phoneticPr fontId="2" type="noConversion"/>
  </si>
  <si>
    <t>【The FIVE】#185-112</t>
    <phoneticPr fontId="2" type="noConversion"/>
  </si>
  <si>
    <t>■ [Q.T묵상] 고전 5:1~13</t>
    <phoneticPr fontId="2" type="noConversion"/>
  </si>
  <si>
    <t xml:space="preserve"> 1. 오늘도 즐겁고 기대되는 하루가 될 수 있어 감사합니다. 
 2. 
 3. 
 4. 
 5. 
 6. 
 7. 
 8. 
 9.
10. 오늘도 최선을 다해서 하루를 보내도록 하겠습니다. 감사합니다. 고맙습니다.</t>
    <phoneticPr fontId="2" type="noConversion"/>
  </si>
  <si>
    <t>■ Footprints in Books_코스피 1만 넥스트 레벨(박시동)
-</t>
    <phoneticPr fontId="2" type="noConversion"/>
  </si>
  <si>
    <t>→시장은 단기적으로 늘 흔들린다. 좋은 실적이 나와도 기대치가 너무 높으면 조정이 나온다. 하지만 중요한 것은 방향이다.​ AI 투자 사이클은 아직 끝나지 않았고, 오히려 이제 본격적인 확장의 초입일 수도 있다.
→산업혁명은 늘 소수에게 먼저 보인다.그리고 그 변화의 흐름을 이해하는 사람에게는, 시장의 변동성조차 결국 기회가 된다.</t>
    <phoneticPr fontId="2" type="noConversion"/>
  </si>
  <si>
    <t>【The FIVE】#186-113</t>
    <phoneticPr fontId="2" type="noConversion"/>
  </si>
  <si>
    <t>원칙'을 지키기란 참 어렵다.
나도 모르는 사이,
'원칙+욕심+자기정당화' 작업을
하고 있는 나를 발견한다</t>
  </si>
  <si>
    <t>■ [Q.T묵상] 고전 6:1~11</t>
    <phoneticPr fontId="2" type="noConversion"/>
  </si>
  <si>
    <t xml:space="preserve">(고린도전서 6:9-11)9 불의한 자가 하나님의 나라를 유업으로 받지 못할 줄을 알지 못하느냐 미혹을 받지 말라 음행하는 자나 우상 숭배하는 자나 간음하는 자나 탐색하는 자나 남색하는 자나10 도적이나 탐욕을 부리는 자나 술 취하는 자나 모욕하는 자나 속여 빼앗는 자들은 하나님의 나라를 유업으로 받지 못하리라11 너희 중에 이와 같은 자들이 있더니 주 예수 그리스도의 이름과 우리 하나님의 성령 안에서 씻음과 거룩함과 의롭다 하심을 받았느니라
→불의한 자는 하나님의 나라를 유업으로 받지 못한다.'음행, 우상숭배(돈, 취미생활등 하나님보다 더 사랑하는 것), 동성애, 도둑질, 탐심, 술취함, 비방, 약탈' 이러한 죄는 '육신의 정욕, 안목의 정욕, 이생의 자랑' 으로 축약할수 있고, 모든 인간이 피할 수 없는 죄들이다.하지만, 예수님의 십자가와 하나님의 성령 안에서 씻음과 거룩함과 의롭다하여 주심에 감사합니다. </t>
    <phoneticPr fontId="2" type="noConversion"/>
  </si>
  <si>
    <t xml:space="preserve"> 1. 오늘도 즐겁고 기대되는 하루가 될 수 있어 감사합니다.
 2. 퇴근 후 하남매와 함께 보드게임을 하며 즐거운 시간 보낼수 있어 감사합니다.
 3. 김진경 전도사님과 교제를 통해 영적 도전을 받고, 더 깊은 곳을 사모하게 하시니 감사.
 4. 멘토와의 교제를 통해 내 자신을 긍정하고 사랑하는 언어를 깨닫게 하시니 감사합니다.
 5. 내 인생은 하나님의 주권과 통치가 적용되는 하나님의 나라임을 선포합니다. 
 6. 매일 아침 The FIVE로 하루를 시작할 수 있음에 감사합니다.
 7. 성령님, 주님과의 교제에 중보자가 되어주시고, 종일 주님과 동행하게 해주세요.
 8. 회사에서 맡은 업무에 최선을 다할 수 있도록 힘과 지혜를 주시기 원합니다.
 9. 오늘도 최선을 다해서 하루를 보내도록 하겠습니다. 감사합니다. 고맙습니다.</t>
    <phoneticPr fontId="2" type="noConversion"/>
  </si>
  <si>
    <t>■ Footprints in Books_코스피 1만 넥스트 레벨(박시동)
- 단순 명료하고, 직관적으로 현재의 주식 투자 초보자에게 조언하는 책이다. 어려운 이론은 생략하고, 그야말로 초등학생에게 가장 기본적인 사칙연산을 가르치듯, 그렇게 쉬운 내용과 직설적 화법으로 명쾌한 정답을 이야기한다. 깊이있는 깨달음이나, 새로운 깨달음은 없지만, 주식투자를 하면서도궁금하지만 물어보기도, 찾아보기도 애매했던 의문들에 대해서 다루어주어 좋았다. 책을 빠르게 읽어나갈 수 있고, 마치 유투브 한편을 보고 들은 느낌이다. 주식을 이제 막 시작한 추식 초보자에게 추천할만 하다. 
- 여러 투자책에서 다루어진 내용이지만, 이번 책을 통해서 기업의 재무 건정성과 성장 가능성을 판단하는 지표들에 대해 100% 내것으로 만들기로 결심하고, 아래 하단에 각종 지표들 (EPS, PER, PBR등..)에 대한 정의를 일주일간 유지하며 암기하기로 했다. 나이가 들어거 그런지 볼때는 아는데, 뒤돌아서면 생각이 나지 않는다. 이제 완전해 내것으로 만들때가 되었다.</t>
    <phoneticPr fontId="2" type="noConversion"/>
  </si>
  <si>
    <t xml:space="preserve">→반도체는 전자 산업의 핵심 부품이면서 동시에 AI 연산의 토대이고, 첨단 무기 체계의 두뇌이며, 자동차와 전력망, 통신 인프라와 데이터 센터를 움직이는 기반이다 
말하자면 반도체는 오늘날 산업문명의 혈관을 움직이게 하는 '신경망'에 가깝다 </t>
    <phoneticPr fontId="2" type="noConversion"/>
  </si>
  <si>
    <t>【The FIVE】#187-114</t>
    <phoneticPr fontId="2" type="noConversion"/>
  </si>
  <si>
    <t>실적이 전제된 주도주!
같은 결과라면
단순한 것이 답이다</t>
    <phoneticPr fontId="2" type="noConversion"/>
  </si>
  <si>
    <t xml:space="preserve">(고린도전서 6:19-20) 19 너희 몸은 너희가 하나님께로부터 받은 바 너희 가운데 계신 성령의 전인 줄을 알지 못하느냐 너희는 너희 자신의 것이 아니라20 값으로 산 것이 되었으니 그런즉 너희 몸으로 하나님께 영광을 돌리라
→애초에 우리는 우리자신의 것이 아니었다. 우리는 죄의 '노예', 죄의 '종'으로, 죄가 우리의 소유권을 가지고 있었다. 예수님께서는 우리의 몸값을 당신의 생명으로 값을 치르시고 우리를 사셨다. 값을 지불하였기 때문에 소유권이 예수님께 넘어갔다. 이제 우리는 죄의 '노예', 죄의 '종'이 아니라 '하나님의 자녀'가 되었다. 하나님의 자녀 살아야할 우리가 예전 죄의 노예된 습성을 버리지 못하고 있다. '조의 노예'의 습성을 버리고, '하나님의 자녀'로서의 삶을 살아가자. </t>
    <phoneticPr fontId="2" type="noConversion"/>
  </si>
  <si>
    <t xml:space="preserve"> 1. 오늘도 즐겁고 기대되는 하루가 될 수 있어 감사합니다. 
 2. 딸 노엘이 가족예배를 인도하며, 온가족이 함께 가족예배를 드릴수 있어 감사합니다.
 3. 아내 미아, 아들 노아, 딸 노엘이 가족예배를 통해 서로 감사제목을 나룰 수 있어 감사.
 4. 잠자리에 들기 전, 노아에게 마사지를 해주며 서로를 위해 기도할수 있어 감사합니다.
 5. 평생을 통해 함께 행복을 누릴수 있는 가족이라는 공동체를 허락해주심에 감사합니다.
 6. 노아가 중국어 수학에서도 만점을 받고, 선생님께 칭찬과 격려를 받을수 있어 감사.
 7. 노엘의 피아노와 그림 실력이 나날이 진보하고, 자기 스스로도 만족함에 감사합니다. 
 8. 매일 아침의 시작을 주님과 Q.T로 교제 할 수 있어 감사합니다.
 9. 예배, 가족, 독서, 투자, 골프, 운동. 삶의 기둥을 분명하게 세워나가게 하심에 감사.
10. 오늘도 최선을 다해서 하루를 보내도록 하겠습니다. 감사합니다. 고맙습니다.</t>
    <phoneticPr fontId="2" type="noConversion"/>
  </si>
  <si>
    <t>부자들은 이런 주식을 삽니다(김현준)</t>
    <phoneticPr fontId="2" type="noConversion"/>
  </si>
  <si>
    <t>■ Footprints in Books_부자들은 이런 주식을 삽니다(김현준)
▶주식투자 4단계 과정 : 1. 재무설계: 투자 자금의 규모, 기간, 기대수익률을 설정하는 단계. 조급함에서 벗어나 장기적인 관점에서 자산 증식의 목표를 분명히 세워야 합니다. 2. 투자 마인드 정립: 투자의 기본 원칙과 개념을 익히는 단계. 가치투자 대가들의 저서를 읽으며 흔들리지 않는 '마음의 근육'을 키우고 자신만의 원칙을 세워야 한다. 3. 세상의 변화에 대한 호기심: 종목명에 매몰되지 않고 일상 속의 변화를 관찰하는 단계. 소비자가 선택하는 제품이나 서비스 등 시장이 아직 포착하지 못한 변화의 틈에서 기회를 찾아야 한다. 4. 회계 공부와 연습: 세상의 변화를 숫자로 읽고 돈의 가치로 해석하는 능력을 기르는 단계. 투자의 언어인 회계를 알아야 발견한 기회를 실질적인 수익으로 전환할 수 있다.</t>
    <phoneticPr fontId="2" type="noConversion"/>
  </si>
  <si>
    <t>- 욕심을 버린다, 평정심을 유지한다, 결단력을 갖춘다
- 집중력을 갖춰야 한다, 추세에 역행하지 마라
- 최악의 상황을 염두에 둔다, 융통성을 갖는다
- 인내심을 갖는다, 자신의 원칙을 지킨다
- 성급하게 매수하지 마라, 손절매를 빨리 판단하라
- 주식을 도박처럼 하지 마라
- 주식 시장을 볼 때 항상 유쾌하게 생각하라
- 많은 연구하고 경험을 쌓아라, 주식을 믿지 마라
- 안전하게 매매하려면 종가 매매를 하기 권한다 
- 시장의 소문을 믿지 마라, 시장에 겸손하라</t>
    <phoneticPr fontId="2" type="noConversion"/>
  </si>
  <si>
    <t>【The FIVE】#188-115</t>
    <phoneticPr fontId="2" type="noConversion"/>
  </si>
  <si>
    <t>투자의 본질적인 위험은
'변동성'이 아니라
영구적인 '자본훼손'이다
변동성을 사랑하자
그리고
잃지 않는 투자를 하자</t>
    <phoneticPr fontId="2" type="noConversion"/>
  </si>
  <si>
    <t>■ [Q.T묵상] 고전 7:1~16</t>
    <phoneticPr fontId="2" type="noConversion"/>
  </si>
  <si>
    <t>ㆍ주님, 가정이라는 귀한 공동체를 주신 것은 구원을 이루어 가길 원하시는 하나님의 계획임을 깨닫습니다. 순결하고 건강한 부부로, 자애롭고 본이되는 부모로, 사랑하고 섬기는 자녀로 세워주소서. 가정을 허무는 죄악이 틈타지 못하도록 늘 말씀을 가까이 하는 우리 가정이 되게 하소서.</t>
    <phoneticPr fontId="2" type="noConversion"/>
  </si>
  <si>
    <t xml:space="preserve">ㆍ광야의 삶을 통해 하나님을 만나게 하시고, 하나님만 의지하게 하시니 감사합니다. 
ㆍ 모든 실패와 좌절이 감사로 여겨지는 것은 실패와 좌절을 통해 하나님을 만날수 있기 때문입니다. 교만했던 옛 자아를 버리고, 주님 앞에 겸손히 나아갑니다.
ㆍ하나님의 축복은 폭포수처럼, 바다의 밀물처럼, 막을수도 거부할수도 없습니다.
ㆍ성령께서 내 안에 충만하시고, 내 삶을 이끌어가기 원합니다. 저는 제 인생 주인의 자리에서 내려와 주앞에 엎드립니다 성령님, 그 자리에 앉으시고 제 삶을 다스려주세요.
ㆍ세상을 창조하시고, 우주를 운행하시는 하나님의 그 신묘막측함을 찬양합니다. 작은 세포 하나부터 온 우주까지... 당신의 그 창조와 창의의 속성을 닮아가기 원합니다. 
ㆍ마른 막대기가 모세의 손에 붙들려 홍해바다를 가르는 기적의 도구로 사용됨 같이, 죽은 막대기 같은 제 인생도 주님께 붙들려 주의 일에 사용되기 원합니다. </t>
    <phoneticPr fontId="2" type="noConversion"/>
  </si>
  <si>
    <t xml:space="preserve">■ Footprints in Books_부자들은 이런 주식을 삽니다(김현준)
ㆍ"달걀을 한 바구니에 담지 마라"는 고전적 격언이 현대 투자에서는 새로운 도전을 받고 있다. 수십 개의 종목에 투자하는 과도한 분산은 실상 '종목을 잘 모르니 대충 분석하겠다'는 고백과 다름없다. 대신 10개 이내의 우량 종목에 집중하는 '집중투자'가 더 효과적인 전략으로 제시된다.  이러한 시각의 핵심은 두 가지이다. 첫째, 투자 매력도가 가장 높은 최고의 기업들에만 자산을 집중하기 위함이다. 둘째, 기업의 '숟가락 개수'까지 꿰고 있을 정도로 면밀한 분석과 추적이 가능해야 주가의 변동성을 견디며 인내심 있게 수익을 거둘 수 있기 때문이다. 학계에서는 '위험'을 '변동성'으로 보고 분산을 권하지만, 투자의 본질적인 위험은 변동성이 아니라 '영구적인 자본 훼손'이다. 따라서 철저히 분석한 10개 내외의 종목에 집중하되, 전쟁이나 팬데믹 같은 불의의 일격에 대비해 한 종목당 비중을 30% 미만으로 관리하는 것이 더 영리하고 신선한 투자의 정석이다. </t>
    <phoneticPr fontId="2" type="noConversion"/>
  </si>
  <si>
    <t>ㆍ엔비디아 관련 또 하나 눈에 들어왔던 부분은 네트워킹 사업 성장이다. 과거에는 GPU 판매량에만 집중했지만, 이제는 서버 간 연결, 랙 시스템, 네트워크, 소프트웨어 생태계까지 모두 수익화하고 있다.
ㆍ결국 엔비디아가 파는 것은 GPU 하나가 아니라 AI 공장 전체 시스템이라는 생각이 들었다.</t>
    <phoneticPr fontId="2" type="noConversion"/>
  </si>
  <si>
    <t>【The FIVE】#189-116</t>
    <phoneticPr fontId="2" type="noConversion"/>
  </si>
  <si>
    <t xml:space="preserve">지금은 AI가 메가트랜드다
생활 전반에 깊숙이 스며들고 있고
시간 흐름에 따라 반드시
실현될 '정해진 미래'이며
우리를 지배하고 있는 실질적인
변화의 흐름이다. </t>
  </si>
  <si>
    <t>■ [Q.T묵상] 고전 7:17~24</t>
    <phoneticPr fontId="2" type="noConversion"/>
  </si>
  <si>
    <t>ㆍ주님, 세상의 시선이나 평가에 얽매여 나을 부러워하거나 비난했던 어리석음을 회개합니다. 있는 모습 그대로 저를 부르시고 자녀 삼아 주셨으니, 저도 형제자매를 제 기준으로 판단하지 않고 용납하게 하소서. 부르신 곳에서 함께 주님의 영광을 드높이게 하소서.</t>
    <phoneticPr fontId="2" type="noConversion"/>
  </si>
  <si>
    <t>ㆍ오늘도 즐겁고 기대되는 하루가 될 수 있어 감사합니다. 
ㆍ79년생 양띠모임인 '양회'골프 멤버와 필드에서 즐겁게 골프를 칠수 있어 감사합니다.
ㆍ비록, 라운딩에서는 좋은 점수는 나오지 않았지만, 골프에 대해 많은 것을 배울수 게되어 참 감사한 하루입니다. 라운딩 종료 후 라이펑에서 개인 훈련을 하고, 뭉클 멤버와 스크린 시합을 하였는데, 큰 배움과 성장이 있어 더욱 감사합니다.
ㆍ아들 노아가 잘못한 부분이 있어 지적하였는데, 잘못한 마음보다는 기분나쁜 마음이 더 큰 것 같아, 이부분에 대해서 확실이 훈육하고 바른 마음을 가질수 있도록 지도하였습니다. 노아에게 지혜를 주셔서, 오늘 제가 한 훈육을 이해하고 변화와 성장의 계기가 되게 해주세요.
ㆍ산적한 회사 업무가 큰 부담으로 다가옵니다. 지혤르 주시고 순조롭게 인도해주세요.
ㆍ오늘도 최선을 다해서 하루를 보내도록 하겠습니다. 감사합니다. 고맙습니다.</t>
    <phoneticPr fontId="2" type="noConversion"/>
  </si>
  <si>
    <t>■ Footprints in Books_부자들은 이런 주식을 삽니다(김현준)
- 투자 종목 선정의 핵심 원칙은 메가트렌드와 경제적 해자를 파악하는 것이다. 메가트렌드는 단기적 유행을 넘어 시대를 주도하는 거대한 흐름으로, 이를 찾는 것은 시간을 투자자의 편으로 만드는 과정이다. 아무리 뛰어난 기업이라도 시대의 흐름에 역행하거나 쇠퇴하는 산업에 있다면 성장이 어렵기 때문이다. 이는 강물을 거슬러 오르는 숙련된 요원보다 흐름에 몸을 맡긴 대학생이 더 빠르게 이동할 수 있다는 비유로 설명된다.
- 중요한 것은 메가트렌드를 허황된 공상과학적 미래와 혼동하지 않는 것이다. 진정한 메가트렌드는 인구 고령화나 1인 가구 증가처럼 이미 생활 전반에 깊숙이 스며들어 있거나, 시간이 흐름에 따라 반드시 실현될 '정해진 미래'를 의미한다. 따라서 투자자는 공기와 같이 우리를 지배하고 있는 실질적인 변화의 흐름에 주목해야 한다.</t>
    <phoneticPr fontId="2" type="noConversion"/>
  </si>
  <si>
    <t>ㆍ트레이딩에서 가장 중요한 일은 최적의 매매 타이밍을 잡는 것이 아니다. 바로 파산하지 않는 것이다. 
ㆍ파산만 하지 않는다면 언제라도 다시 도전할 수 있으며, 언제 가는 이익을 올릴 기회도 찾아온다.
ㆍ가장 중요한 것은 자금 관리를 위한 규칙이다. 올바른 자금 관리야말로 트레이딩으로 파산하지 않기 위한 첫걸음이다
ㆍ실력을 키우려면 연습이 반드시 필요하다  공부한다, 연습한다, 실천한다, 검증한다, 반성한다, 다시 공부한다 (순환 반복)</t>
    <phoneticPr fontId="2" type="noConversion"/>
  </si>
  <si>
    <t>【The FIVE】#190-117</t>
  </si>
  <si>
    <t xml:space="preserve"> “바보라도 경영할 수 있는 회사에 투자하라. 왜냐하면 언젠가 바보가 경영할 날이 오기 때문이다”
- 워렌 버핏
너무 웃긴데, 너무 정확하다.</t>
  </si>
  <si>
    <t>■ [Q.T묵상] 고전 7:25~40</t>
  </si>
  <si>
    <t>ㆍ곧 닥쳐올 환난은 우리의 마음의 초점을 주님으로부터 분산시킨다.  '곧 닥쳐올 환난'은 바로, '우리의 마음의 초점을 주님으로부터 분산시키는 모든 일', 즉 경제적 위기, 질병, 유혹, 탐욕, 정욕 관계의 깨짐 등 이다. (육신의 정욕, 안목의 정욕, 이생의 자랑) 특히, 가정이 있는 사람들은 남편과 아내, 자녀에 대한 '책임'으로 인해 세상일을 걱정하게 된다. 그렇다고 결혼이 악한 것은 아니다. 결혼은 하나님께서 만드신 제도다. 핵심은, '주님께 초점을 두는 것'이다. '결혼, 가정' 자체가 목적이 되면 안 되고, '결혼, 가정'을 통해 '곧 닥쳐올 환난'을 이겨내고, 온 가족이 '합심하여 주님을 더욱 잘 섬기는 것'이 목적이 되어야한다.</t>
  </si>
  <si>
    <t>ㆍ오늘도 즐겁고 기대되는 하루가 될 수 있어 감사합니다.
ㆍ믿음의 가정을 통해 온 가족이 주님을 더욱 잘 섬길 수 있도록 해주심에 감사합니다.
ㆍ광야의 삶 속에서 주님과 동행하는 것이, 풍족한 꽃길을 홀로 걷는 것보다 감사합니다.
ㆍ언제나 마음속에 꿈을 꾸고, 목표를 세우고, 목표를 향해 달려나가는 열정을 부어주심에 감사합니다. 성령이 이끄심에 민감하게 반응하며, 모든 것이 협력하여 선을 이루실 주님께 찬양과 찬송을 드립니다.
ㆍ높은 수치의 혈당 진단을 통해 더 건강한 생활습관을 추구하게 하시니 감사합니다.
ㆍ찬양팀 섬김을 통해 내 마음이 괴로우나 즐거우나 주님을 찬양하게 하시니 감사합니다.
ㆍ독서와 투자, 골프와 운동을 통해 풍성한 삶을 누리게 하시니 감사합니다.
ㆍ오늘도 최선을 다해서 하루를 보내도록 하겠습니다. 감사합니다. 고맙습니다.</t>
  </si>
  <si>
    <t>부자들은 이런 주식을 삽니다(김현준)</t>
  </si>
  <si>
    <t>■ Footprints in Books_부자들은 이런 주식을 삽니다(김현준)
-투자 종목 선정의 핵심 원칙은 메가트렌드와 경제적 해자를 파악하는 것이다. 
경제적 해자는 외부 변화로부터 자산을 지키는 핵심 장치다. 워런 버핏이 고안한 이 개념은 경쟁자의 침입을 막는 성곽의 연못과 같다. 팻 도시는 이를 무형자산, 전환비용, 네트워크 효과, 원가 우위의 네 가지로 정의한다. 이들은 기업이 외부 환경 악화에도 수익성을 유지하게 돕는다.
중요한 점은 뛰어난 제품이나 높은 점유율, 경영진의 능력이 반드시 영속적인 해자를 보장하지 않는다는 사실이다. 진정한 경쟁 우위는 경쟁사가 쉽게 베낄 수 없는 구조적 강점에서 나온다. 바보가 경영해도 성공할 수 있는 해자 있는 기업을 찾는 것이 투자자의 본질적 과제임을 깨닫게 한다. 자산의 지속 가능한 성장을 꿈꾸는 우리에게 이 개념은 명확한 투자 이정표를 제시한다.</t>
  </si>
  <si>
    <t>ㆍ과거에는 AI 투자에서 GPU 자체가 가장 중요한 요소라고 생각했지만, 시간이 지나면서 병목이 GPU → HBM → 패키징 → PCB/기판으로 이동하고 있다는 점이 흥미로웠다.
ㆍAI 서버는 일반 서버와 구조 자체가 다르다. Blackwell과 Rubin 세대로 갈수록 데이터 처리량이 급증하면서 PCB 층수 증가, 고속 신호 전달, 저손실 소재 적용 등 기술 난도가 크게 높아지고 있다. 결국 단순히 칩을 잘 만드는 것만으로는 부족하고, 칩을 안정적으로 연결하는 기판 기술도 매우 중요한 경쟁력이 되고 있다.</t>
  </si>
  <si>
    <t>【The FIVE】#191-118</t>
    <phoneticPr fontId="2" type="noConversion"/>
  </si>
  <si>
    <t xml:space="preserve">불타는 가슴, 냉철한 머리'
이 둘을 소유할 수 있다면
주식투자에서 성공 확률이 높다
'돈, 뜨겁게 사랑하고 차갑게 다루어라' - 앙드레 코스톨라니 지음
강민욱님께서 선물로 주신 책인데
제목의 의미를 이제서야 
이해할수 있게 되었다.  </t>
  </si>
  <si>
    <t>■ [Q.T묵상] 고전 8:1~13</t>
    <phoneticPr fontId="2" type="noConversion"/>
  </si>
  <si>
    <t>(고린도전서 8:1) ....  지식은 교만하게 하며 사랑은 덕을 세우나니.
ㆍ'머리'와 '가슴'의 물리적 거리는 50cm도 되지 않지만, 상대적 거리는 우주 끝에서 끝만큼 멀다. 누군가를 논쟁과 설득으로 '사랑'하게 만들수 없는 것처럼, 지식으로 하나님 사랑하는 마음을 만들어 줄 수 없다. 지식은 그저 나에게만 머물러 있는 것이다 그 지식은 나를 높인다. 하지만, 사랑하고 섬기는 마음은 나를 낮추고 상대방은 높인다. 사랑하고 섬기는 마음은 마음을 움직인다. 지식이 할 수 없는 일을 사랑이 한다. 나의 지식은 낮추고, 사랑과 섬김의 마음으로 나의 이웃을 높이는 사람이 되자.</t>
    <phoneticPr fontId="2" type="noConversion"/>
  </si>
  <si>
    <t>ㆍ오늘도 즐겁고 기대되는 하루가 될 수 있어 감사합니다. 
ㆍ예배드리러 가는 길에, 하남매가 하나님께서 주신 은사와 비전이 무엇인지 궁금하다고 하였는데, 순간 제 마음에 감동을 주시고, 두 자녀에게 하나님께서 두 자녀에게 주신 은사와 비전이 무엇인지 선포할수 있게 해주심에 감사합니다. 노아에게는 '하나님의 열정'을, 노엘에게는  '하나님의 꾸준함, 성실하심' 을 은사로 주셨음을 알려주었습니다. 노아는 매사에 호기심이 있고, 하고자 하는 열정이 매우 큰 아이여서, 관심갖는 일에는 큰 성취를 이룹니다. 노엘은 귀찮거나, 하기 싫은 일이라도 해야한다고 정해지면 꾸준하게, 성실하게 실천하는 아이로, 결국 그 분야에서 실력을 향상시키고 성취를 이룹니다. 하남매는 이 이야기를 듣고 내심 마음에 새기는 모습이었습니다. 저를 통해 선포된 하나님의 은사와 비전이 두 자녀의 마음에 깊히 자리잡게 해주시고, 은사와 비전이 이끄는 인생을 살게 해주세요. 성령께서 두 인생과 동행해주시고, 선한 길로 인도해 주시기를 간절히 기도합니다.</t>
    <phoneticPr fontId="2" type="noConversion"/>
  </si>
  <si>
    <t>■ Footprints in Books_부자들은 이런 주식을 삽니다(김현준)
- (완독 독후감) 젊고 지적인 필체로 여러가지 사안들을 깊은 밤 함께 깊이있게 이야기 나누는 느낌의 책이다. 복잡하거나 잡다하지 않게 딱 하고싶은 이야기들에만 집중해서 쓴 책이라, 지루하지 않고 재미있게 읽었다. 전체적으로는 좋은 느낌이지만, 그래서 그런지 밋밋한 느낌도 없지 않다. 불타오르는 열정? 투지? 할수있다!! 해보자!! 하는 느낌의 뿜뿜은 없다. 그도 그럴것이, 아무래도 펀드매니저 출신이라 그런지 '안정된 투자', '잃지 않는 투자'를 최우선으로 두고 있는 것 같다. 그리고, 사실 그것이 맞다. 이 책을 주식 초보자들을 위해서 쓴 것이니, 그들에게 '레밍'의 선봉장이 되어 절벽앞으로 인도할 수는 없는 노릇일 것이다. 그럼에도, 주식투자는 '불확실성'을 전제로 하기 때문에 아무리 안전한 투자를 추구한다 해도, 얻어터지는 일은 다반사여서, '강력한 동기부여'가 없이는 버티기 힘들다. 지적으로 '안전한 투자'를 외치더라도, 가슴을 불태워줄 동력이 없다면, 주식시장에서는 오래 버티기 힘들다는 점에서, 가슴을 불태워주지 못하는 부분이 아쉬움이 남는다.</t>
    <phoneticPr fontId="2" type="noConversion"/>
  </si>
  <si>
    <t>ㆍ하루 종일 시세판을 쳐댜보고 있어도 돈은 벌 수 없다</t>
    <phoneticPr fontId="2" type="noConversion"/>
  </si>
  <si>
    <t>【The FIVE】#192-119</t>
    <phoneticPr fontId="2" type="noConversion"/>
  </si>
  <si>
    <t>변화를 원하는가?
변화의 길을 제시한다
각성→결단→몰입→탈피
Are you ready?</t>
    <phoneticPr fontId="2" type="noConversion"/>
  </si>
  <si>
    <t>■ [Q.T묵상] 고전 9:1~10</t>
    <phoneticPr fontId="2" type="noConversion"/>
  </si>
  <si>
    <t xml:space="preserve">ㆍ(고린도전서 9:10) ......밭 가는 자는 소망을 가지고 갈며 곡식 떠는 자는 함께 얻을 소망을 가지고 떠는 것이라
ㆍ세상 사람들의 눈에는 성도가 주님께 무보수로 헌신하는 것이 이상하게 보인다. 편히 쉬며 즐기 수 있는 주말에, 주차장 땡볕에서 주차 봉사를 하거나, 성가대를 하면서, '급여' 조차 받지않는 다는 사실에 충격을 받는다. 특히, 지위가 높은 장로님들이 더더욱 그러하다는 것을 알때에 그들은 이해하지 못한다. 하지만, 주안에서 헌신하는 모든 이들은 소망을 가지고 있다. 하나님께서 부어주시는 성령으로 충만한 인생, 하나님과 동행하는 기쁨, 그리고 가장 근본적으로 '구원의 기쁨과 감사'가 넘치는 인생이다. </t>
    <phoneticPr fontId="2" type="noConversion"/>
  </si>
  <si>
    <t>ㆍ오늘도 즐겁고 기대되는 하루가 될 수 있어 감사합니다. 
ㆍ성순장님으로부터 AI를 좀더 심오한 수준으로 공부할 수 있는 기회가 있어 감사합니다. 
ㆍ밭 가는 자, 곡식을 떠는 자에게 함께 얻을 것에 대한 소망을 주심에 감사합니다. 주 안에서 섬기고, 나누고, 중보함을 통해서, 또 독서와 투자공부와 운동을 통해서, 주께서 채워주실 것에 대한 소망으로 더욱 기쁨이 넘치나이다. 
ㆍ내일부터 금요일까지 한국 출장이 있습니다. 모든 일정이 순조롭게 되길 기도합니다.
ㆍ업무 영역에서도 성취가 있도록, 업무에 대한 집중력과 지혜와 창의를 주시기를 원합니다.
ㆍ언제나 평안과 기쁨을 얻을 수 있는 가족을 허락해주심에 감사합니다.
ㆍ내가 열심히 일할 수 있고, 가족의 경제적인 부분을 해결할수 있는 직장이 있음에 감사.
ㆍ오늘도 최선을 다해서 하루를 보내도록 하겠습니다. 감사합니다. 고맙습니다.</t>
    <phoneticPr fontId="2" type="noConversion"/>
  </si>
  <si>
    <t>딱 1년만 미쳐라(리치파카 강연주)</t>
    <phoneticPr fontId="2" type="noConversion"/>
  </si>
  <si>
    <t>■ Footprints in Books_딱 1년만 미쳐라(리치파카 강연주)
-나는 이 책을 통해 내가 직접 통과했던 변화의 길을 독자들에게 제시하고자 한다. 
 그것은 각성, 결단, 몰입, 탈피라는 네 단계의 과정이다.
    • 각성(覺醒) : 정신을 차리고 나의 현 위치를 직시하고 깨닫는 단계다.
    • 결단(決斷) : 미치기 위해 반드시 버려야 할 것들을 끊어내는 단계다.
    • 몰입(沒入) : 폭발적인 성장을 위해 정신을 집중하고, 은둔의 시간을 견뎌내는 단계다.
    • 탈피(脫皮) : 낡은 껍질을 벗어내고 이전과는 완전히 다른 존재로 거듭나는 단계다</t>
    <phoneticPr fontId="2" type="noConversion"/>
  </si>
  <si>
    <t>ㆍ천재지변이나 돌발사태로 인한 폭락은 사라</t>
    <phoneticPr fontId="2" type="noConversion"/>
  </si>
  <si>
    <t>【The FIVE】#193-120</t>
    <phoneticPr fontId="2" type="noConversion"/>
  </si>
  <si>
    <t>각성(覺醒)
정신을 차리고 나의 현 위치를
직시하고 깨닫는 단계
하나님께서 주신 비전을 깨닫고, 
내가 이 세상에 존재하는
이유에 대해 확신이 설때.</t>
  </si>
  <si>
    <t>■ [Q.T묵상] 고전 9:11~18</t>
    <phoneticPr fontId="2" type="noConversion"/>
  </si>
  <si>
    <t xml:space="preserve">(고린도전서 9:18-19) 그런즉 내 상이 무엇이냐 내가 복음을 전할 때에 값없이 전하고 복음으로 말미암아 내게 있는 권리를 다 쓰지 아니하는 이것이로다19 내가 모든 사람에게서 자유로우나 스스로 모든 사람에게 종이 된 것은 더 많은 사람을 얻고자 함이라
ㆍ하나님께서 주시는 사명을 감당하는 것은 그 자체만으로 내 인생에 영광이 되며, 자부심이 넘치는 일이다. 그것이 나의 자랑이 되지 않고, 그것으로 댓가를 구하지 않는 것은 그 모든 것이 오로지 주님께서 전적으로 주시는 은혜로 말미암기 때문이다. 주님, 주께서 부어주시는 기쁨은 세상 어떤 것과도 비교할수 없을 만큼 값지고 소중합니다. 할렐루야! </t>
    <phoneticPr fontId="2" type="noConversion"/>
  </si>
  <si>
    <t>ㆍ오늘도 즐겁고 기대되는 하루가 될 수 있어 감사합니다. 
ㆍ오늘부터 금요일가지 한국 출장길입니다. 모든 것이 합력하여 선을 이루실 하나님께 영광!
ㆍ제 인생의 발자취를 뒤돌아 봅니다. 그 발자국 옆에는 언제나 동행해주시는 주님의 발자국이 있었고, 또 제가 지쳐 주저앉아 있을 때에도 주께서는 저를 업고 걸어으셨습니다. 이제 깨닫는 것은, 그동안 있었던 모든 성취와 성공, 좌절과 절망의 순간에 주님께서 저보다 더 기뻐하시고, 주님께서 주보다 더 슬퍼하셨습니다. 저는 혼자인줄 알았는데, 언제나 함께 해주셨습니다. 감사합니다.
ㆍ말씀과 기도와 예배가 있는 믿음의 가정으로 우리 가정을 세워주시니 감사합니다.
ㆍ자녀들에게 축복을 선포하고, 하나님의 말씀으로 격려하고 응원 할 수 있음에 감사합니다. 
ㆍ오늘도 최선을 다해서 하루를 보내도록 하겠습니다. 감사합니다. 고맙습니다.</t>
    <phoneticPr fontId="2" type="noConversion"/>
  </si>
  <si>
    <t xml:space="preserve">■ Footprints in Books_딱 1년만 미쳐라(리치파카 강연주)
- 현대인들은 바쁘게 살아가지만 정작 삶의 주도권을 놓친 채 ‘잠든 삶’을 사는 경우가 많다. 이책에서 강조하는 ‘각성’이란 단순히 현실을 깨닫는 수준을 넘어, 자신의 현재 위치를 인식하고 새로운 내일의 모습을 꿈꾸는 것을 의미한다. 각성은 자책이 아니라 “나는 지금 어디에 있으며 어디로 가고 있는가?”라는 본질적인 질문을 던지며 가슴 뛰는 삶을 향해 나아가는 과정이다.
이를 위해 감정 내려놓기, 타인과 비교하지 않고 위치 확인하기, 자신의 선택 믿기라는 세 단계를 거쳐야 한다. 자신과 정면으로 마주하는 과정에서 느끼는 불편함은 우리가 깨어나고 있다는 소중한 신호이다. 이제는 남들이 만든 답안지가 아닌, 나만의 인생 답안지를 직접 써 내려가야 한다. 스스로 삶의 방향을 설정할 때 비로소 진정한 의미의 각성이 완성된다.
- 나에게도 각성의 순간이 있었다. 졸업 직전 하나님께서 내게 주신 비전을 발견했을 때이다. 그날 이전과 이후의 나는 전혀 다른 존재가 되었다고 느낀다. 그런 점에서 '각성'은 인생에 끌려다니는 삶에서 주도적으로 이끌어가는 삶으로의 변화에 필수요소이다. </t>
    <phoneticPr fontId="2" type="noConversion"/>
  </si>
  <si>
    <t>ㆍ때가 올 때까지 기다리는 사람이 성공한다</t>
    <phoneticPr fontId="2" type="noConversion"/>
  </si>
  <si>
    <t>【The FIVE】#195-122</t>
    <phoneticPr fontId="2" type="noConversion"/>
  </si>
  <si>
    <t>상위 1%가 되자
그곳에는 '난이도 x 희소성'이
보장되는 초고난이도 영역이다
'독서, 골프, 주식투자, 운동'
이 네가지 영역에서
나는 상위 1%가 될 것이다!</t>
    <phoneticPr fontId="2" type="noConversion"/>
  </si>
  <si>
    <t>(고린도전서 10:12) 12 그런즉 선 줄로 생각하는 자는 넘어질까 조심하라
ㆍ우상숭배하지 말라. 음행하지 말라. 원망하지 말라. 하나님께서 축복하사 모든 일이 형통할 때에 마음이 교만하여져서 마치 자
기가 이루어낸 것처럼 생각하지 말며, 또, 어렵고 힘들었을 때 하나님께 간구하던 마음을 잊고, 그 형통함을 '우상'으로 만들어 하나님을 멀리하지 말라. 모든 것이 형통할 때에는 '선 줄로 생각하는 자는 넘어질까 조심할라'는 이 말씀을 깊이 새겨, 언제나 우리의 초점이 주님께 향하게 하자.</t>
    <phoneticPr fontId="2" type="noConversion"/>
  </si>
  <si>
    <t>ㆍ오늘도 즐겁고 기대되는 하루가 될 수 있어 감사합니다. 
ㆍ출장 일정이 순조롭게 마무리되게 하심에 감사합니다.
ㆍ대한항공 본사를 처음 방문하였습니다. 참 좋은 회사입니다. 합병을 통해 이 좋은 회사의직원이 되게 하심에 감사합니다. 가나안 땅을 정탐했던 여호수아와 갈랩과 같이 담대히 나아가 하나님께서 준비하신 젖과 꿀이 흐르는 이 땅을 정복하고 다스리게 하옵소서.
ㆍ출장 기간동안 그리운 회사 동료와 친구들을 만나 교제하게 하심에 감사합니다.
ㆍ10년만에 새 핸드폰(중고폰)으로 교체하였습니다. 너무 마음에 들고 설레입니다. 
ㆍ출장기간 틈틈히 독서를 함으로 출장기간을 더욱 알차게 보낼수 있어 감사합니다.
ㆍ먼저 그의 나라와 그의 의를 구하라. 그리하면 이 모든 것을 더하시리라
ㆍ오늘도 최선을 다해서 하루를 보내도록 하겠습니다. 감사합니다. 고맙습니다.</t>
    <phoneticPr fontId="2" type="noConversion"/>
  </si>
  <si>
    <t>■ Footprints in Books_딱 1년만 미쳐라(리치파카 강연주)
- 대체불가능한 사람이 되자. 대체 불가능한 가치는 ‘난이도 X 희소성’이다. 즉, 난이도가 높을수록 그리고 그 일을 할 수 있는 사람이 적을수록 당신의 몸값은 기하급수적으로 치솟는다. 남들이 기피하는 어려운 일, 시간이 오래 걸리는 일, 고도의 집중력을 요하는 일에 당신의 1년을 베팅해야 하는 이유가 바로 여기에 있다.
- 내가 대만에서 교환학생으로 있던 시절, 디아스포라 집회에 참여하여 비전 강의를 들었는데, 그때에 그리스도인의 인재상 ''Irreplacable (대체 불가능한)' 에 대해서 처음 접하였고, 그 인재상이 지금의 나를 있게한 원동력이 되었다. 대체 불가능한 인재가 되면, 소신대로 일 할 수 있으며, 회사라는 세상 조직문화 속에서 그리스도인으로서 짠 맛을 잃지 않는 소금이 될 수 있다. 지금 나이 48세이지만, 책에서 제시한 대체 불가능한 가치를 좀더 높이기 위해 난이도가 높으면서도 희소한 것에 더욱 집중해야겠다, 사실, 어떤 영역이든 상위 1%에는 '난이도와 희소성'의 가치가 내재되어있다. '독서, 골프, 주식투자, 운동'에서 상위 1%가 되겠다!</t>
    <phoneticPr fontId="2" type="noConversion"/>
  </si>
  <si>
    <t>ㆍ모든 재료가 곧바로 주가에 반영되지 않는다</t>
    <phoneticPr fontId="2" type="noConversion"/>
  </si>
  <si>
    <t>【The FIVE】#196-123</t>
    <phoneticPr fontId="2" type="noConversion"/>
  </si>
  <si>
    <t>(
ㆍ</t>
    <phoneticPr fontId="2" type="noConversion"/>
  </si>
  <si>
    <t>ㆍ오늘도 즐겁고 기대되는 하루가 될 수 있어 감사합니다. 
ㆍ
ㆍ
ㆍ
ㆍ
ㆍ
ㆍ
ㆍ
ㆍ
ㆍ오늘도 최선을 다해서 하루를 보내도록 하겠습니다. 감사합니다. 고맙습니다.</t>
    <phoneticPr fontId="2" type="noConversion"/>
  </si>
  <si>
    <t>■ Footprints in Books_딱 1년만 미쳐라(리치파카 강연주)
-</t>
    <phoneticPr fontId="2" type="noConversion"/>
  </si>
  <si>
    <t>ㆍ격언을 모르고 시세에 뛰어들지 말라</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</si>
</sst>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h:mm;@"/>
    <numFmt numFmtId="177" formatCode="#,##0_);[Red]\(#,##0\)"/>
    <numFmt numFmtId="178" formatCode="\+#,##0;\-#,##0;0"/>
    <numFmt numFmtId="179" formatCode="\+0.0%;\-0.0%"/>
    <numFmt numFmtId="180" formatCode="hh:mm"/>
  </numFmts>
  <fonts count="6"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
      <b/>
      <sz val="11"/>
      <name val="맑은 고딕"/>
      <family val="3"/>
      <charset val="129"/>
      <scheme val="minor"/>
    </font>
    <font>
      <b/>
      <sz val="10"/>
      <name val="맑은 고딕"/>
      <family val="3"/>
      <charset val="129"/>
      <scheme val="minor"/>
    </font>
    <font>
      <b/>
      <sz val="11"/>
      <color theme="1" tint="0.34998626667073579"/>
      <name val="맑은 고딕"/>
      <family val="3"/>
      <charset val="129"/>
      <scheme val="minor"/>
    </font>
  </fonts>
  <fills count="3">
    <fill>
      <patternFill patternType="none"/>
    </fill>
    <fill>
      <patternFill patternType="gray125"/>
    </fill>
    <fill>
      <patternFill patternType="solid">
        <fgColor theme="8" tint="0.79998168889431442"/>
        <bgColor indexed="64"/>
      </patternFill>
    </fill>
  </fills>
  <borders count="5">
    <border>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s>
  <cellStyleXfs count="1">
    <xf numFmtId="0" fontId="0" fillId="0" borderId="0">
      <alignment vertical="center"/>
    </xf>
  </cellStyleXfs>
  <cellXfs count="27">
    <xf numFmtId="0" fontId="0" fillId="0" borderId="0" xfId="0">
      <alignment vertical="center"/>
    </xf>
    <xf numFmtId="14" fontId="1" fillId="2" borderId="0" xfId="0" applyNumberFormat="1" applyFont="1" applyFill="1" applyAlignment="1">
      <alignment horizontal="center" vertical="center"/>
    </xf>
    <xf numFmtId="176" fontId="1" fillId="2" borderId="0" xfId="0" applyNumberFormat="1" applyFont="1" applyFill="1" applyAlignment="1">
      <alignment horizontal="center" vertical="center"/>
    </xf>
    <xf numFmtId="0" fontId="1" fillId="2" borderId="0" xfId="0" applyFont="1" applyFill="1" applyAlignment="1">
      <alignment horizontal="center" vertical="center"/>
    </xf>
    <xf numFmtId="0" fontId="1" fillId="2" borderId="0" xfId="0" applyFont="1" applyFill="1">
      <alignment vertical="center"/>
    </xf>
    <xf numFmtId="0" fontId="1" fillId="2" borderId="0" xfId="0" applyFont="1" applyFill="1" applyAlignment="1">
      <alignment horizontal="center" vertical="center" wrapText="1"/>
    </xf>
    <xf numFmtId="9" fontId="1" fillId="2" borderId="0" xfId="0" applyNumberFormat="1" applyFont="1" applyFill="1" applyAlignment="1">
      <alignment horizontal="center" vertical="center" wrapText="1"/>
    </xf>
    <xf numFmtId="177" fontId="3" fillId="2" borderId="1" xfId="0" applyNumberFormat="1" applyFont="1" applyFill="1" applyBorder="1" applyAlignment="1" applyProtection="1">
      <alignment horizontal="center" vertical="center"/>
      <protection locked="0"/>
    </xf>
    <xf numFmtId="177" fontId="3" fillId="2" borderId="2" xfId="0" applyNumberFormat="1" applyFont="1" applyFill="1" applyBorder="1" applyAlignment="1" applyProtection="1">
      <alignment horizontal="center" vertical="center" wrapText="1"/>
      <protection locked="0"/>
    </xf>
    <xf numFmtId="178" fontId="4" fillId="2" borderId="3" xfId="0" quotePrefix="1" applyNumberFormat="1" applyFont="1" applyFill="1" applyBorder="1" applyAlignment="1" applyProtection="1">
      <alignment horizontal="center" vertical="center" wrapText="1"/>
      <protection locked="0"/>
    </xf>
    <xf numFmtId="179" fontId="3" fillId="2" borderId="0" xfId="0" applyNumberFormat="1" applyFont="1" applyFill="1" applyBorder="1" applyAlignment="1" applyProtection="1">
      <alignment horizontal="center" vertical="center"/>
      <protection locked="0"/>
    </xf>
    <xf numFmtId="49" fontId="5" fillId="2" borderId="4" xfId="0" applyNumberFormat="1" applyFont="1" applyFill="1" applyBorder="1" applyAlignment="1" applyProtection="1">
      <alignment horizontal="center" vertical="center" wrapText="1"/>
      <protection locked="0"/>
    </xf>
    <xf numFmtId="14" fontId="0" fillId="0" borderId="0" xfId="0" applyNumberFormat="1" applyAlignment="1">
      <alignment horizontal="center" vertical="center"/>
    </xf>
    <xf numFmtId="176"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9" fontId="0" fillId="0" borderId="0" xfId="0" applyNumberFormat="1" applyAlignment="1">
      <alignment horizontal="center" vertical="center"/>
    </xf>
    <xf numFmtId="177" fontId="0" fillId="0" borderId="0" xfId="0" applyNumberFormat="1" applyAlignment="1">
      <alignment vertical="center"/>
    </xf>
    <xf numFmtId="178" fontId="0" fillId="0" borderId="0" xfId="0" applyNumberFormat="1" applyAlignment="1">
      <alignment vertical="center"/>
    </xf>
    <xf numFmtId="179" fontId="0" fillId="0" borderId="0" xfId="0" applyNumberFormat="1" applyAlignment="1">
      <alignment vertical="center"/>
    </xf>
    <xf numFmtId="0" fontId="0" fillId="0" borderId="0" xfId="0" quotePrefix="1" applyAlignment="1">
      <alignment vertical="center" wrapText="1"/>
    </xf>
    <xf numFmtId="178" fontId="0" fillId="0" borderId="0" xfId="0" applyNumberFormat="1" applyAlignment="1">
      <alignment vertical="center" wrapText="1"/>
    </xf>
    <xf numFmtId="176" fontId="0" fillId="0" borderId="0" xfId="0" applyNumberFormat="1" applyAlignment="1">
      <alignment horizontal="center" vertical="center" wrapText="1"/>
    </xf>
    <xf numFmtId="177" fontId="0" fillId="0" borderId="0" xfId="0" applyNumberFormat="1" applyAlignment="1">
      <alignment vertical="center" wrapText="1"/>
    </xf>
    <xf numFmtId="0" fontId="0" fillId="0" borderId="0" xfId="0" quotePrefix="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y%20Documents/&#51077;&#52272;/&#48264;&#50689;&#47196;/&#47924;&#50504;&#54616;&#49688;/&#49892;&#54665;(1)/&#45236;&#50669;&#49436;(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My%20Documents\My%20Documents\competitor\HK&#48708;&#44368;&#51064;&#50896;8&#509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potat/Desktop/Miracle_Life/v5.1_&#12304;THE+FIVE&#12305;_BTM_Charlie+Noh_2026053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첨부1"/>
      <sheetName val="입찰안"/>
      <sheetName val="노임이"/>
      <sheetName val="수입"/>
      <sheetName val="공통가설"/>
      <sheetName val="간접"/>
      <sheetName val="집계표"/>
      <sheetName val="손익"/>
      <sheetName val="현금흐름"/>
      <sheetName val="A4288"/>
      <sheetName val="SG"/>
      <sheetName val="수정시산표"/>
      <sheetName val="주택"/>
      <sheetName val="주택(백만원)"/>
      <sheetName val="신공항A-9(원가수정)"/>
      <sheetName val="손익분석"/>
      <sheetName val="KUNGDEVI"/>
      <sheetName val="자바라1"/>
      <sheetName val="그래프"/>
      <sheetName val="관로내역원"/>
      <sheetName val="SUMMARY"/>
      <sheetName val="PAINT"/>
      <sheetName val="GDP"/>
      <sheetName val="손익기01"/>
      <sheetName val="5Traffic1"/>
      <sheetName val="Sheet1"/>
      <sheetName val="부문인원3"/>
      <sheetName val="C-A(취합)파리"/>
      <sheetName val="CTEMCOST"/>
      <sheetName val="ELECTRIC"/>
      <sheetName val="현장관리비"/>
      <sheetName val="감독1130"/>
      <sheetName val="COL"/>
      <sheetName val="동선(을)"/>
      <sheetName val="인사자료총집계"/>
      <sheetName val="전계가"/>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변경실행(2차) "/>
      <sheetName val="CC Down load 0716"/>
      <sheetName val="화물2팀"/>
      <sheetName val="bm(CIcable)"/>
      <sheetName val="원가계산서"/>
      <sheetName val="금액내역서"/>
      <sheetName val="설계내역서"/>
      <sheetName val="01"/>
      <sheetName val="내역"/>
      <sheetName val="나.출고"/>
      <sheetName val="나.입고"/>
      <sheetName val="8월차잔"/>
      <sheetName val="실행내역"/>
      <sheetName val="예가표"/>
      <sheetName val="시멘트"/>
      <sheetName val="유동성사채"/>
      <sheetName val="금융"/>
      <sheetName val="결재인"/>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감가상각"/>
      <sheetName val="호프"/>
      <sheetName val="공사개요"/>
      <sheetName val="산근"/>
      <sheetName val="상각스케쥴(조정)"/>
      <sheetName val="공통비총괄표"/>
      <sheetName val="  한국 AMP ASP-23 판매가격  "/>
      <sheetName val="Variables"/>
      <sheetName val="제조원가 원단위 분석"/>
      <sheetName val="종합표양식(품의 &amp; 입고)_2"/>
      <sheetName val="공사비집계"/>
      <sheetName val="APT"/>
      <sheetName val="SCHEDULE"/>
      <sheetName val="JUCKEYK"/>
      <sheetName val="노임단가"/>
      <sheetName val="982월원안"/>
      <sheetName val="여흥"/>
      <sheetName val="원가관리 (동월대비)"/>
      <sheetName val="45,46"/>
      <sheetName val="요약"/>
      <sheetName val="방배동내역(리라)"/>
      <sheetName val="금융비용"/>
      <sheetName val="총괄내역서"/>
      <sheetName val="내역서"/>
      <sheetName val="TR제작사양"/>
      <sheetName val="익월수주전망"/>
      <sheetName val="980731"/>
      <sheetName val="광곡세부내역"/>
      <sheetName val="DATA"/>
      <sheetName val="실적공사"/>
      <sheetName val="업무처리전"/>
      <sheetName val="2연암거"/>
      <sheetName val="경사수로집계표"/>
      <sheetName val="경사수로"/>
      <sheetName val="진입교량"/>
      <sheetName val="시산표(매출조정전)"/>
      <sheetName val="b_balju (2)"/>
      <sheetName val="b_gunmul"/>
      <sheetName val="S&amp;R"/>
      <sheetName val="93"/>
      <sheetName val="2-2.매출분석"/>
      <sheetName val="RECIMAKE"/>
      <sheetName val="woo(mac)"/>
      <sheetName val="견적의뢰"/>
      <sheetName val="예정(3)"/>
      <sheetName val="동원(3)"/>
      <sheetName val="토목검측서"/>
      <sheetName val="A-100전제"/>
      <sheetName val="몰드시스템 리스트"/>
      <sheetName val="정비손익"/>
      <sheetName val="200"/>
      <sheetName val="정산표"/>
      <sheetName val="월말명세0912"/>
      <sheetName val="11.외화채무증권(AFS,HTM)08"/>
      <sheetName val="Hedge09"/>
      <sheetName val="13.감액TEST_08"/>
      <sheetName val="해외채권"/>
      <sheetName val="BS09"/>
      <sheetName val="Calen"/>
      <sheetName val="Borrower"/>
      <sheetName val="MIBK원단위"/>
      <sheetName val="Proposal"/>
      <sheetName val="7 (2)"/>
      <sheetName val="중요02월25일"/>
      <sheetName val="단가추이"/>
      <sheetName val="경유량추이"/>
      <sheetName val="RE9604"/>
      <sheetName val="역T형"/>
      <sheetName val="기계경비(시간당)"/>
      <sheetName val="램머"/>
      <sheetName val="수주현황2월"/>
      <sheetName val="입찰내역서"/>
      <sheetName val="평가제외"/>
      <sheetName val="SM1-09"/>
      <sheetName val="SM2-09"/>
      <sheetName val="BD-09"/>
      <sheetName val="12년 CF(9월)"/>
      <sheetName val="#REF"/>
      <sheetName val="유림골조"/>
      <sheetName val="기본DATA"/>
      <sheetName val="노무비"/>
      <sheetName val="추가예산"/>
      <sheetName val="Sheet13"/>
      <sheetName val="Sheet14"/>
      <sheetName val="ABUT수량-A1"/>
      <sheetName val="갑지(추정)"/>
      <sheetName val="중기조종사 단위단가"/>
      <sheetName val="6PILE  (돌출)"/>
      <sheetName val="기성청구 공문"/>
      <sheetName val="IW-LIST"/>
      <sheetName val="화의-현금흐름"/>
      <sheetName val="SO416"/>
      <sheetName val="장기대여금1"/>
      <sheetName val="개발비자산성검토"/>
      <sheetName val="가공MH"/>
      <sheetName val="08년(Form1)"/>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실행철강하도"/>
      <sheetName val="일위대가표"/>
      <sheetName val="단가산출"/>
      <sheetName val="13월별BS"/>
      <sheetName val="집행내역"/>
      <sheetName val="공통부대관리"/>
      <sheetName val="MIJIBI"/>
      <sheetName val="Sheet1 (2)"/>
      <sheetName val="A-4"/>
      <sheetName val="하수급견적대비"/>
      <sheetName val="원가(통신)"/>
      <sheetName val="표지"/>
      <sheetName val="설비원가"/>
      <sheetName val="SIL98"/>
      <sheetName val="재고현황"/>
      <sheetName val="발행제기"/>
      <sheetName val="2.대외공문"/>
      <sheetName val="97년추정손익계산서"/>
      <sheetName val="表21 净利润调节表"/>
      <sheetName val="재료"/>
      <sheetName val="점수계산1-2"/>
      <sheetName val="일위대가"/>
      <sheetName val="대비표"/>
      <sheetName val="골조시행"/>
      <sheetName val="업무연락"/>
      <sheetName val="Ethylene"/>
      <sheetName val="월별매출"/>
      <sheetName val="ChlorAlkali"/>
      <sheetName val="VXXXXXXX"/>
      <sheetName val="지점장"/>
      <sheetName val="부서코드표"/>
      <sheetName val="BEST"/>
      <sheetName val="통장출금액"/>
      <sheetName val="영동(D)"/>
      <sheetName val="조명시설"/>
      <sheetName val="실적"/>
      <sheetName val="37개월"/>
      <sheetName val="물량표"/>
      <sheetName val="미드수량"/>
      <sheetName val="참조"/>
      <sheetName val="DATE"/>
      <sheetName val="총내역서"/>
      <sheetName val="카메라"/>
      <sheetName val="감가상각비"/>
      <sheetName val="완제품3"/>
      <sheetName val="비가동-20"/>
      <sheetName val="손익현황"/>
      <sheetName val="현황CODE"/>
      <sheetName val="단가표"/>
      <sheetName val="CAUDIT"/>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주형"/>
      <sheetName val="sum1 (2)"/>
      <sheetName val="적격"/>
      <sheetName val="자재단가"/>
      <sheetName val="Total"/>
      <sheetName val="3.바닥판설계"/>
      <sheetName val="504전기실 동부하-L"/>
      <sheetName val="Sheet15"/>
      <sheetName val="Sheet9"/>
      <sheetName val="DUT-BAT1"/>
      <sheetName val="2.총괄표"/>
      <sheetName val="LinerWt"/>
      <sheetName val="적용건축"/>
      <sheetName val="양식(직판용)"/>
      <sheetName val="部署名"/>
      <sheetName val="車両別燃費及び油類単価"/>
      <sheetName val="퇴충"/>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월별수입"/>
      <sheetName val="차수"/>
      <sheetName val="담보"/>
      <sheetName val="1유리"/>
      <sheetName val="예적금"/>
      <sheetName val="월별손익"/>
      <sheetName val="매출"/>
      <sheetName val="Year"/>
      <sheetName val="인원계획-미화"/>
      <sheetName val="ADR"/>
      <sheetName val="Prices"/>
      <sheetName val="조정내역"/>
      <sheetName val="CF6"/>
      <sheetName val="양식3"/>
      <sheetName val="P.M 별"/>
      <sheetName val="FRQ"/>
      <sheetName val="기준"/>
      <sheetName val="Sheet4"/>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주행"/>
      <sheetName val="D-623D"/>
      <sheetName val="BQMPALOC"/>
      <sheetName val="세부내역서"/>
      <sheetName val="XZLC004_PART2"/>
      <sheetName val="XZLC003_PART1"/>
      <sheetName val="조경"/>
      <sheetName val="입찰보고"/>
      <sheetName val="건축내역"/>
      <sheetName val="단가(반정3교-원주)"/>
      <sheetName val="수지"/>
      <sheetName val="KAM설비"/>
      <sheetName val="시산표"/>
      <sheetName val="목록"/>
      <sheetName val="중기"/>
      <sheetName val="연돌일위집계"/>
      <sheetName val="원가계산하도"/>
      <sheetName val="월별예산"/>
      <sheetName val="입찰내역 발주처 양식"/>
      <sheetName val="산출근거"/>
      <sheetName val="일위(토목)"/>
      <sheetName val="_x0018__x0000_"/>
      <sheetName val=""/>
      <sheetName val="실행간접비용"/>
      <sheetName val="품셈TABLE"/>
      <sheetName val="설계명세서"/>
      <sheetName val="전신환매도율"/>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요약PL"/>
      <sheetName val="근거 및 가정"/>
      <sheetName val="09~10년 매출계획"/>
      <sheetName val="2 카드채권(대출포함)"/>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슬래브"/>
      <sheetName val="국내총괄"/>
      <sheetName val="특판제외"/>
      <sheetName val="건축공사실행"/>
      <sheetName val="건축원가"/>
      <sheetName val="5사남"/>
      <sheetName val="020114"/>
      <sheetName val="0111월"/>
      <sheetName val="품셈표"/>
      <sheetName val="갑근세납세필증명원"/>
      <sheetName val="주현(해보)"/>
      <sheetName val="주현(영광)"/>
      <sheetName val="입출재고현황 (2)"/>
      <sheetName val="原価センタ"/>
      <sheetName val="TRE TABLE"/>
      <sheetName val="C3"/>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선수금"/>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위탁매매_1103"/>
      <sheetName val="자기매매_1103"/>
      <sheetName val="위탁매매_1109"/>
      <sheetName val="자기매매_1109"/>
      <sheetName val="_x005f_x0018_"/>
      <sheetName val="1.차입금"/>
      <sheetName val="choose"/>
      <sheetName val="경비"/>
      <sheetName val="_x005f_x0018__x005f_x0000_"/>
      <sheetName val="Data Validation"/>
      <sheetName val="기초"/>
      <sheetName val="재무상태표"/>
      <sheetName val="2.주요계수총괄"/>
      <sheetName val="본문"/>
      <sheetName val="ETC"/>
      <sheetName val="자금추ȕ"/>
      <sheetName val="05년말(건재)"/>
      <sheetName val="물량표S"/>
      <sheetName val="INPUT"/>
      <sheetName val="일위(PN)"/>
      <sheetName val="1.본사계정별"/>
      <sheetName val="cp-e1"/>
      <sheetName val="Y-WORK"/>
      <sheetName val="FILE1"/>
      <sheetName val="FILE2"/>
      <sheetName val="6-5공구원본"/>
      <sheetName val="부대시행1"/>
      <sheetName val="부대시행1 (2)"/>
      <sheetName val="부대시행2"/>
      <sheetName val="부대토공"/>
      <sheetName val="부대철콘"/>
      <sheetName val="부대토공실"/>
      <sheetName val="부대철콘실"/>
      <sheetName val="Sheet5"/>
      <sheetName val="Sheet8"/>
      <sheetName val="95하U$가격"/>
      <sheetName val="118.세금과공과"/>
      <sheetName val="수선비"/>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불균등-TOP(선수)"/>
      <sheetName val="법인구분"/>
      <sheetName val="기초코드"/>
      <sheetName val="1.MDF1공장"/>
      <sheetName val="회사정보"/>
      <sheetName val="제1호"/>
      <sheetName val="차액보증"/>
      <sheetName val="원가서"/>
      <sheetName val="3.6.2남양주택배"/>
      <sheetName val="구성비"/>
      <sheetName val="Back Data 1"/>
      <sheetName val="CC16-내역서"/>
      <sheetName val="Project Brief"/>
      <sheetName val="자금운용계획표"/>
      <sheetName val="Manual"/>
      <sheetName val="Instructions"/>
      <sheetName val="A"/>
      <sheetName val="Training"/>
      <sheetName val="Facility Information"/>
      <sheetName val="General"/>
      <sheetName val="People"/>
      <sheetName val="Quality"/>
      <sheetName val="Risk"/>
      <sheetName val="주차"/>
      <sheetName val="__"/>
      <sheetName val="0001new"/>
      <sheetName val="부대공"/>
      <sheetName val="신공"/>
      <sheetName val="총괄표"/>
      <sheetName val="GAEYO"/>
      <sheetName val="내역표지"/>
      <sheetName val="교각계산"/>
      <sheetName val="공통비(전체)"/>
      <sheetName val="토목공사"/>
      <sheetName val="새공통(96임금인상기준)"/>
      <sheetName val="비교1"/>
      <sheetName val="유림총괄"/>
      <sheetName val="PIPE"/>
      <sheetName val="FLANGE"/>
      <sheetName val="VALVE"/>
      <sheetName val="단면 (2)"/>
      <sheetName val="공사비증감"/>
      <sheetName val="부속동"/>
      <sheetName val="MEMORY"/>
      <sheetName val="찍기"/>
      <sheetName val="단가일람"/>
      <sheetName val="단위량당중기"/>
      <sheetName val="수량집계표(舊)"/>
      <sheetName val="현금"/>
      <sheetName val="정부노임단가"/>
      <sheetName val="한강운반비"/>
      <sheetName val="동절기투입(자재)"/>
      <sheetName val="전도품의"/>
      <sheetName val="BOX-1510"/>
      <sheetName val="경비2내역"/>
      <sheetName val="직재"/>
      <sheetName val="PAD TR보호대기초"/>
      <sheetName val="HANDHOLE(2)"/>
      <sheetName val="가로등기초"/>
      <sheetName val="YES-T"/>
      <sheetName val="음료실행"/>
      <sheetName val="철골공사"/>
      <sheetName val="슬래԰"/>
      <sheetName val="슬래"/>
      <sheetName val="슬래렀"/>
      <sheetName val="슬래㰀"/>
      <sheetName val="슬래밀"/>
      <sheetName val="선급비용"/>
      <sheetName val="1월 예산"/>
      <sheetName val="슬래　"/>
      <sheetName val="슬래尀"/>
      <sheetName val="슬래⠀"/>
      <sheetName val="공사내역"/>
      <sheetName val="슬래"/>
      <sheetName val="슬래堌"/>
      <sheetName val="슬래䰀"/>
      <sheetName val="11월"/>
      <sheetName val="22철거수량"/>
      <sheetName val="해외 기술훈련비 (합계)"/>
      <sheetName val="접대비"/>
      <sheetName val="슬래簀"/>
      <sheetName val="슬래瀀"/>
      <sheetName val="슬래퀀"/>
      <sheetName val="슬래鰀"/>
      <sheetName val="슬래뀀"/>
      <sheetName val="BD%_70s"/>
      <sheetName val="내역(한신APT)"/>
      <sheetName val="FB25JN"/>
      <sheetName val="도"/>
      <sheetName val="의정부문예회관변경내역"/>
      <sheetName val="상가지급현황"/>
      <sheetName val="특외대"/>
      <sheetName val=" 견적서"/>
      <sheetName val="1. 시공측량"/>
      <sheetName val="자재목록"/>
      <sheetName val="설계명세서(선로)"/>
      <sheetName val="시화점실행"/>
      <sheetName val="전체철근집계"/>
      <sheetName val="건축2"/>
      <sheetName val="#1) 투자 구분"/>
      <sheetName val="P-산#1-1(WOWA1)"/>
      <sheetName val="분전함신설"/>
      <sheetName val="접지1종"/>
      <sheetName val="품목"/>
      <sheetName val="터파기및재료"/>
      <sheetName val="3본사"/>
      <sheetName val="98지급계획"/>
      <sheetName val="최소가치(간편)-회계"/>
      <sheetName val="회사제시"/>
      <sheetName val="설치원가"/>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명단원자료(이전)"/>
      <sheetName val="수종별수량 (2)"/>
      <sheetName val="구간별수량"/>
      <sheetName val="입찰내역_발주처_양식"/>
      <sheetName val="Data_Validation"/>
      <sheetName val="품목코드표"/>
      <sheetName val="부서별집계표"/>
      <sheetName val="금년실적"/>
      <sheetName val="Utility Usage YTN TOWER"/>
      <sheetName val="B-1.기본정보"/>
      <sheetName val="노동부"/>
      <sheetName val="RAW"/>
      <sheetName val="Bond"/>
      <sheetName val="원본"/>
      <sheetName val="설산1.나"/>
      <sheetName val="본사S"/>
      <sheetName val="Facility_Information"/>
      <sheetName val="일위대가(계측기설치)"/>
      <sheetName val="要員用master"/>
      <sheetName val="TB"/>
      <sheetName val="PL"/>
      <sheetName val="CS"/>
      <sheetName val="공정"/>
      <sheetName val="공사비예산서(토목분)"/>
      <sheetName val="_x0018_?"/>
      <sheetName val="Master"/>
      <sheetName val="Macro1"/>
      <sheetName val="설문 평가"/>
      <sheetName val="예산계정INDEX"/>
      <sheetName val="환율change"/>
      <sheetName val="부하(성남)"/>
      <sheetName val="일반관리비"/>
      <sheetName val="보고서"/>
      <sheetName val="인수기간별S"/>
      <sheetName val="본부유지율"/>
      <sheetName val="4-2물건누계"/>
      <sheetName val="자동차추정자료"/>
      <sheetName val="손해감소유형"/>
      <sheetName val="7"/>
      <sheetName val="항목"/>
      <sheetName val="1_종합손익(도급)4"/>
      <sheetName val="대투_보관자료 변경"/>
      <sheetName val="내수자재"/>
      <sheetName val="합천내역"/>
      <sheetName val="전기단가조사서"/>
      <sheetName val="Weekly Progress(계장)"/>
      <sheetName val="表21_净利润夐#奜#"/>
      <sheetName val="납부내역총괄표 (수정)"/>
      <sheetName val="감액총괄표"/>
      <sheetName val="9GNG운반"/>
      <sheetName val="연습"/>
      <sheetName val="125PIECE"/>
      <sheetName val="소총괄표"/>
      <sheetName val="아파트연면적비율(참고1)"/>
      <sheetName val="전선 및 전선관"/>
      <sheetName val="약품공급2"/>
      <sheetName val="판가반영"/>
      <sheetName val="배수공"/>
      <sheetName val="수량산출"/>
      <sheetName val="기초정보"/>
      <sheetName val="KEY CODE"/>
      <sheetName val="Back_Data_1"/>
      <sheetName val="※유형구분분류"/>
      <sheetName val="※类型区分分类"/>
      <sheetName val="선택창"/>
      <sheetName val="외주현황.wq1"/>
      <sheetName val="2013.2월 연결대상"/>
      <sheetName val="BS_Package_내부거래"/>
      <sheetName val="PL_Package_내부거래"/>
      <sheetName val="손익실적"/>
      <sheetName val="손익실적(매출원가)"/>
      <sheetName val="당년사별실적"/>
      <sheetName val="VXXXX"/>
      <sheetName val="탄산"/>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첨부1(손익관리)"/>
      <sheetName val="카메라2"/>
      <sheetName val="카메라1"/>
      <sheetName val="첨부11(기계정지개선)"/>
      <sheetName val="카메라3"/>
      <sheetName val="카메라-생산실적"/>
      <sheetName val="카메라-생산실적분석"/>
      <sheetName val="sheet6"/>
      <sheetName val="FA-LISTING"/>
      <sheetName val="기둥(원형)"/>
      <sheetName val="화전내"/>
      <sheetName val="수량산출내역1115"/>
      <sheetName val="개산공사비"/>
      <sheetName val="RE"/>
      <sheetName val="FP"/>
      <sheetName val="IS"/>
      <sheetName val="2-1.강사료,교통비 지급명세"/>
      <sheetName val="予算実績管理現況"/>
      <sheetName val="추정pl"/>
      <sheetName val="13.포장용역비표준"/>
      <sheetName val="9.가공부자재표준"/>
      <sheetName val="8.ROLL표준(TSW)"/>
      <sheetName val="4.톤당조관량표준"/>
      <sheetName val="5.조관부자재표준"/>
      <sheetName val="고정자산-회사제시"/>
      <sheetName val="해외_기술훈련비_(합계)"/>
      <sheetName val="118_세금과공과"/>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기초자료"/>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code"/>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전기"/>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sheetData sheetId="1324" refreshError="1"/>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내역서"/>
      <sheetName val="시행결의을"/>
      <sheetName val="기본정보"/>
      <sheetName val="Sheet1"/>
      <sheetName val="Sheet2"/>
      <sheetName val="Sheet3"/>
      <sheetName val="선박별 배부"/>
      <sheetName val="KUNGDEVI"/>
      <sheetName val="특외대"/>
      <sheetName val="건축공사"/>
      <sheetName val="200"/>
      <sheetName val="내역"/>
      <sheetName val="1.변경범위"/>
      <sheetName val="수입실적"/>
      <sheetName val="A-100전제"/>
      <sheetName val="#REF"/>
      <sheetName val="품의"/>
      <sheetName val="comps LFY+"/>
      <sheetName val="HDI implied"/>
      <sheetName val="호봉피치"/>
      <sheetName val="첨부1"/>
      <sheetName val="감독1130"/>
      <sheetName val="CAUDIT"/>
      <sheetName val="임의 매출-수정전"/>
      <sheetName val="감가상각"/>
      <sheetName val="채권 현황"/>
      <sheetName val="수정시산표"/>
      <sheetName val="내역서(1)"/>
      <sheetName val="실행내역"/>
      <sheetName val="내역서중"/>
      <sheetName val="개요"/>
      <sheetName val="BID"/>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FRQ"/>
      <sheetName val="기준"/>
      <sheetName val="출자한도"/>
      <sheetName val="F4-F7"/>
      <sheetName val="자산LIST"/>
      <sheetName val="목표세부명세"/>
      <sheetName val="지급자재"/>
      <sheetName val="직접공사비"/>
      <sheetName val="단가"/>
      <sheetName val="입찰보고"/>
      <sheetName val="2000년 공정표"/>
      <sheetName val="노임단가"/>
      <sheetName val="내역서"/>
      <sheetName val="공사비총괄표"/>
      <sheetName val="차수공개요"/>
      <sheetName val="손익"/>
      <sheetName val="BOJUNGGM"/>
      <sheetName val="현금흐름"/>
      <sheetName val="코드"/>
      <sheetName val="간접1"/>
      <sheetName val="갑지"/>
      <sheetName val="입찰안"/>
      <sheetName val="내역서1"/>
      <sheetName val="제경비율"/>
      <sheetName val="추가예산"/>
      <sheetName val="9703"/>
      <sheetName val="미지급비용"/>
      <sheetName val="설계명세서"/>
      <sheetName val="요일별시간대별 근무인원 그래프"/>
      <sheetName val="CC Down load 0716"/>
      <sheetName val="code"/>
      <sheetName val="CF6"/>
      <sheetName val="차입"/>
      <sheetName val="코드표"/>
      <sheetName val="월별예산"/>
      <sheetName val="PC%계산"/>
      <sheetName val="정식주주명부(061108)"/>
      <sheetName val="6월수불"/>
      <sheetName val="통장출금액"/>
      <sheetName val="유가증권LS"/>
      <sheetName val="내역(설계)"/>
      <sheetName val="BOX(1.5X1.5)"/>
      <sheetName val="점수계산1-2"/>
      <sheetName val="구조물공"/>
      <sheetName val="단기차입금"/>
      <sheetName val="980731"/>
      <sheetName val="대비"/>
      <sheetName val="건설가"/>
      <sheetName val="DATA98"/>
      <sheetName val="코드(대중분류)"/>
      <sheetName val="표지"/>
      <sheetName val="1.매출액"/>
      <sheetName val="2.원가"/>
      <sheetName val="10.인원"/>
      <sheetName val="1월 예산"/>
      <sheetName val="합천내역"/>
      <sheetName val="환율 및 참고"/>
      <sheetName val="프랜트면허"/>
      <sheetName val="토목주소"/>
      <sheetName val="2.호선별예상실적"/>
      <sheetName val="생산매출 (4)"/>
      <sheetName val="사업계획"/>
      <sheetName val="2000년1차"/>
      <sheetName val="2000전체분"/>
      <sheetName val="조명시설"/>
      <sheetName val="증감내역서"/>
      <sheetName val="부대tu"/>
      <sheetName val="업무연락"/>
      <sheetName val="월별매출"/>
      <sheetName val="직노"/>
      <sheetName val="집계표"/>
      <sheetName val="VXXXXXXX"/>
      <sheetName val="RE9604"/>
      <sheetName val="220 (2)"/>
      <sheetName val="골조"/>
      <sheetName val="하수급견적대비"/>
      <sheetName val="N賃率-職"/>
      <sheetName val="손익분석"/>
      <sheetName val="연부97-1"/>
      <sheetName val="대차대조표 (2)"/>
      <sheetName val="손익계산서"/>
      <sheetName val="지점장"/>
      <sheetName val="XREF"/>
      <sheetName val="98지급계획"/>
      <sheetName val="admin"/>
      <sheetName val="AN-01"/>
      <sheetName val="경비"/>
      <sheetName val="갑지(추정)"/>
      <sheetName val="4.PL"/>
      <sheetName val="6.BS"/>
      <sheetName val="9.차입,대여금"/>
      <sheetName val="1월--7월"/>
      <sheetName val="2-2.매출분석"/>
      <sheetName val="첨부_예산"/>
      <sheetName val="본부평가(연말)"/>
      <sheetName val="2.损益表"/>
      <sheetName val="4.추정손익"/>
      <sheetName val="2.매출원가"/>
      <sheetName val="3.일반관리,영업외"/>
      <sheetName val=" 총괄표"/>
      <sheetName val="P4-C"/>
      <sheetName val="1062-X방향 "/>
      <sheetName val="총괄-1"/>
      <sheetName val="MAIN_TABLE"/>
      <sheetName val="선박별_배부"/>
      <sheetName val="1_변경범위"/>
      <sheetName val="comps_LFY+"/>
      <sheetName val="HDI_implied"/>
      <sheetName val="임의_매출-수정전"/>
      <sheetName val="채권_현황"/>
      <sheetName val="2000년_공정표"/>
      <sheetName val="CC_Down_load_0716"/>
      <sheetName val="요일별시간대별_근무인원_그래프"/>
      <sheetName val="BOX(1_5X1_5)"/>
      <sheetName val="1_매출액"/>
      <sheetName val="2_원가"/>
      <sheetName val="10_인원"/>
      <sheetName val="1월_예산"/>
      <sheetName val="2_호선별예상실적"/>
      <sheetName val="생산매출_(4)"/>
      <sheetName val="220_(2)"/>
      <sheetName val="대차대조표_(2)"/>
      <sheetName val="환율_및_참고"/>
      <sheetName val="6.PL"/>
      <sheetName val="4.成本明细表"/>
      <sheetName val="7.6大成本明细表"/>
      <sheetName val="AT비용"/>
      <sheetName val="JJ비용"/>
      <sheetName val="부대수입"/>
      <sheetName val="MA비용"/>
      <sheetName val="ME비용"/>
      <sheetName val="MF비용"/>
      <sheetName val="MI비용"/>
      <sheetName val="MT비용"/>
      <sheetName val="5.管理费明细表"/>
      <sheetName val="6.营业外收支明细表"/>
      <sheetName val="3.收入明细表"/>
      <sheetName val="공통"/>
      <sheetName val="FAB별"/>
      <sheetName val="GAEYO"/>
    </sheetNames>
    <sheetDataSet>
      <sheetData sheetId="0" refreshError="1">
        <row r="21">
          <cell r="B21" t="str">
            <v>1.토공</v>
          </cell>
        </row>
        <row r="22">
          <cell r="B22" t="str">
            <v>토사절취</v>
          </cell>
          <cell r="C22" t="str">
            <v>도쟈 19ton</v>
          </cell>
          <cell r="D22">
            <v>465.1</v>
          </cell>
          <cell r="E22" t="str">
            <v>m3</v>
          </cell>
        </row>
        <row r="23">
          <cell r="B23" t="str">
            <v>노 상</v>
          </cell>
          <cell r="D23">
            <v>1294.5</v>
          </cell>
          <cell r="E23" t="str">
            <v>m3</v>
          </cell>
        </row>
        <row r="24">
          <cell r="B24" t="str">
            <v>운반성토</v>
          </cell>
          <cell r="C24" t="str">
            <v>토사</v>
          </cell>
          <cell r="D24">
            <v>46662</v>
          </cell>
          <cell r="E24" t="str">
            <v>m3</v>
          </cell>
        </row>
        <row r="25">
          <cell r="B25" t="str">
            <v>성토정지</v>
          </cell>
          <cell r="C25" t="str">
            <v>도쟈 19ton</v>
          </cell>
          <cell r="D25">
            <v>55356.07</v>
          </cell>
          <cell r="E25" t="str">
            <v>m3</v>
          </cell>
        </row>
        <row r="26">
          <cell r="B26" t="str">
            <v>터파기(육상성토)</v>
          </cell>
          <cell r="D26">
            <v>8420.14</v>
          </cell>
          <cell r="E26" t="str">
            <v>m3</v>
          </cell>
        </row>
        <row r="27">
          <cell r="B27" t="str">
            <v>기계터파기(수중)</v>
          </cell>
          <cell r="C27" t="str">
            <v>토사(0-4m)</v>
          </cell>
          <cell r="D27">
            <v>6075.87</v>
          </cell>
          <cell r="E27" t="str">
            <v>m3</v>
          </cell>
        </row>
        <row r="28">
          <cell r="B28" t="str">
            <v>잔토처리(기계)</v>
          </cell>
          <cell r="C28" t="str">
            <v>토사(현장내)</v>
          </cell>
          <cell r="D28">
            <v>6535.73</v>
          </cell>
          <cell r="E28" t="str">
            <v>m3</v>
          </cell>
        </row>
        <row r="29">
          <cell r="B29" t="str">
            <v>되메우기</v>
          </cell>
          <cell r="C29" t="str">
            <v>기계</v>
          </cell>
          <cell r="D29">
            <v>8145.84</v>
          </cell>
          <cell r="E29" t="str">
            <v>m3</v>
          </cell>
        </row>
        <row r="30">
          <cell r="B30" t="str">
            <v>표토제거(사토)</v>
          </cell>
          <cell r="C30" t="str">
            <v>도쟈 19ton</v>
          </cell>
          <cell r="D30">
            <v>3202</v>
          </cell>
          <cell r="E30" t="str">
            <v>m3</v>
          </cell>
        </row>
        <row r="31">
          <cell r="B31" t="str">
            <v>표토제거(탑구간)</v>
          </cell>
          <cell r="C31" t="str">
            <v>도쟈 19ton</v>
          </cell>
          <cell r="D31">
            <v>3202</v>
          </cell>
          <cell r="E31" t="str">
            <v>m3</v>
          </cell>
        </row>
        <row r="32">
          <cell r="B32" t="str">
            <v>츠구터파기(토사)</v>
          </cell>
          <cell r="C32" t="str">
            <v>기계</v>
          </cell>
          <cell r="D32">
            <v>201.25</v>
          </cell>
          <cell r="E32" t="str">
            <v>m3</v>
          </cell>
        </row>
        <row r="33">
          <cell r="B33" t="str">
            <v>측구뚝쌓기</v>
          </cell>
          <cell r="C33" t="str">
            <v>인력다짐</v>
          </cell>
          <cell r="D33">
            <v>16.12</v>
          </cell>
          <cell r="E33" t="str">
            <v>m3</v>
          </cell>
        </row>
        <row r="34">
          <cell r="B34" t="str">
            <v>치환다짐포설및다짐</v>
          </cell>
          <cell r="C34" t="str">
            <v>보조기층재</v>
          </cell>
          <cell r="D34">
            <v>1552.94</v>
          </cell>
          <cell r="E34" t="str">
            <v>m2</v>
          </cell>
        </row>
        <row r="35">
          <cell r="B35" t="str">
            <v>줄떼붙임</v>
          </cell>
          <cell r="D35">
            <v>4261.78</v>
          </cell>
          <cell r="E35" t="str">
            <v>m2</v>
          </cell>
        </row>
        <row r="36">
          <cell r="A36">
            <v>10</v>
          </cell>
          <cell r="B36" t="str">
            <v>P P 마대쌓기</v>
          </cell>
          <cell r="C36" t="str">
            <v>45*70</v>
          </cell>
          <cell r="D36">
            <v>560.20000000000005</v>
          </cell>
          <cell r="E36" t="str">
            <v>m2</v>
          </cell>
        </row>
        <row r="37">
          <cell r="B37" t="str">
            <v>물 푸 기</v>
          </cell>
          <cell r="E37" t="str">
            <v>HR</v>
          </cell>
        </row>
        <row r="38">
          <cell r="B38" t="str">
            <v>2.구조물공</v>
          </cell>
        </row>
        <row r="39">
          <cell r="B39" t="str">
            <v>1)침사지및유입펌프장</v>
          </cell>
        </row>
        <row r="40">
          <cell r="B40" t="str">
            <v>콘크리트펌프카타설</v>
          </cell>
          <cell r="C40" t="str">
            <v>무근</v>
          </cell>
          <cell r="D40">
            <v>67.05</v>
          </cell>
          <cell r="E40" t="str">
            <v>m3</v>
          </cell>
        </row>
        <row r="41">
          <cell r="B41" t="str">
            <v>콘크리트펌프카타설</v>
          </cell>
          <cell r="C41" t="str">
            <v>철근</v>
          </cell>
          <cell r="D41">
            <v>1409.52</v>
          </cell>
          <cell r="E41" t="str">
            <v>m3</v>
          </cell>
        </row>
        <row r="42">
          <cell r="B42" t="str">
            <v>합판거푸집</v>
          </cell>
          <cell r="C42" t="str">
            <v>6회</v>
          </cell>
          <cell r="D42">
            <v>13.62</v>
          </cell>
          <cell r="E42" t="str">
            <v>m2</v>
          </cell>
        </row>
        <row r="43">
          <cell r="B43" t="str">
            <v>합판거푸집</v>
          </cell>
          <cell r="C43" t="str">
            <v>3회</v>
          </cell>
          <cell r="D43">
            <v>1180.8499999999999</v>
          </cell>
          <cell r="E43" t="str">
            <v>m2</v>
          </cell>
        </row>
        <row r="44">
          <cell r="B44" t="str">
            <v>원형거푸집</v>
          </cell>
          <cell r="C44" t="str">
            <v>3회</v>
          </cell>
          <cell r="D44">
            <v>2.77</v>
          </cell>
          <cell r="E44" t="str">
            <v>m2</v>
          </cell>
        </row>
        <row r="45">
          <cell r="B45" t="str">
            <v>FORM-TIE</v>
          </cell>
          <cell r="C45" t="str">
            <v>3회 T=800</v>
          </cell>
          <cell r="D45">
            <v>247.63</v>
          </cell>
          <cell r="E45" t="str">
            <v>m2</v>
          </cell>
        </row>
        <row r="46">
          <cell r="B46" t="str">
            <v>FORM-TIE</v>
          </cell>
          <cell r="C46" t="str">
            <v>3회 T=500</v>
          </cell>
          <cell r="D46">
            <v>1622.41</v>
          </cell>
          <cell r="E46" t="str">
            <v>m2</v>
          </cell>
        </row>
        <row r="47">
          <cell r="B47" t="str">
            <v>강관동바리(3개월)</v>
          </cell>
          <cell r="C47" t="str">
            <v>4.2M이상</v>
          </cell>
          <cell r="D47">
            <v>194.63</v>
          </cell>
          <cell r="E47" t="str">
            <v>공/m3</v>
          </cell>
        </row>
        <row r="48">
          <cell r="B48" t="str">
            <v>강관동바리(3개월)</v>
          </cell>
          <cell r="C48" t="str">
            <v>4.2M이하</v>
          </cell>
          <cell r="D48">
            <v>1709.97</v>
          </cell>
          <cell r="E48" t="str">
            <v>공/m3</v>
          </cell>
        </row>
        <row r="49">
          <cell r="B49" t="str">
            <v>강관비계매기</v>
          </cell>
          <cell r="C49" t="str">
            <v>3개월</v>
          </cell>
          <cell r="D49">
            <v>1104.03</v>
          </cell>
          <cell r="E49" t="str">
            <v>m2</v>
          </cell>
        </row>
        <row r="50">
          <cell r="B50" t="str">
            <v>침투성+수성페인트</v>
          </cell>
          <cell r="D50">
            <v>428.71</v>
          </cell>
          <cell r="E50" t="str">
            <v>m2</v>
          </cell>
        </row>
        <row r="51">
          <cell r="B51" t="str">
            <v>에폭시방수</v>
          </cell>
          <cell r="D51">
            <v>981.96</v>
          </cell>
          <cell r="E51" t="str">
            <v>m2</v>
          </cell>
        </row>
        <row r="52">
          <cell r="B52" t="str">
            <v>지수판설치</v>
          </cell>
          <cell r="C52" t="str">
            <v>B=230,T=5MM</v>
          </cell>
          <cell r="D52">
            <v>423.87</v>
          </cell>
          <cell r="E52" t="str">
            <v>m</v>
          </cell>
        </row>
        <row r="53">
          <cell r="B53" t="str">
            <v>양 생</v>
          </cell>
          <cell r="C53" t="str">
            <v>비닐</v>
          </cell>
          <cell r="D53">
            <v>1388.4449999999999</v>
          </cell>
          <cell r="E53" t="str">
            <v>m2</v>
          </cell>
        </row>
        <row r="54">
          <cell r="B54" t="str">
            <v>시공이음면정리</v>
          </cell>
          <cell r="D54">
            <v>137.78</v>
          </cell>
          <cell r="E54" t="str">
            <v>m2</v>
          </cell>
        </row>
        <row r="55">
          <cell r="B55" t="str">
            <v>몰탈</v>
          </cell>
          <cell r="C55" t="str">
            <v>1:3</v>
          </cell>
          <cell r="D55">
            <v>10.53</v>
          </cell>
          <cell r="E55" t="str">
            <v>m3</v>
          </cell>
        </row>
        <row r="56">
          <cell r="B56" t="str">
            <v>FORM-TIE 구멍채우기</v>
          </cell>
          <cell r="D56">
            <v>1748</v>
          </cell>
          <cell r="E56" t="str">
            <v>EA</v>
          </cell>
        </row>
        <row r="57">
          <cell r="B57" t="str">
            <v>난간(STS)</v>
          </cell>
          <cell r="C57" t="str">
            <v>수평(1.2M)</v>
          </cell>
          <cell r="D57">
            <v>93.03</v>
          </cell>
          <cell r="E57" t="str">
            <v>스판</v>
          </cell>
        </row>
        <row r="58">
          <cell r="B58" t="str">
            <v>난간(STS)</v>
          </cell>
          <cell r="C58" t="str">
            <v>경사(0.9M)</v>
          </cell>
          <cell r="D58">
            <v>30</v>
          </cell>
          <cell r="E58" t="str">
            <v>스판</v>
          </cell>
        </row>
        <row r="59">
          <cell r="B59" t="str">
            <v>사다리설치</v>
          </cell>
          <cell r="C59" t="str">
            <v>A-TYPE</v>
          </cell>
          <cell r="D59">
            <v>51</v>
          </cell>
          <cell r="E59" t="str">
            <v>EA</v>
          </cell>
        </row>
        <row r="60">
          <cell r="B60" t="str">
            <v>사다리설치</v>
          </cell>
          <cell r="C60" t="str">
            <v>B-TYPE</v>
          </cell>
          <cell r="D60">
            <v>20.6</v>
          </cell>
          <cell r="E60" t="str">
            <v>EA</v>
          </cell>
        </row>
        <row r="61">
          <cell r="B61" t="str">
            <v>PVC PIPE T S 접합</v>
          </cell>
          <cell r="C61" t="str">
            <v>D=100M/M</v>
          </cell>
          <cell r="D61">
            <v>0.9</v>
          </cell>
          <cell r="E61" t="str">
            <v>m</v>
          </cell>
        </row>
        <row r="62">
          <cell r="B62" t="str">
            <v>PVC PIPE T S 접합</v>
          </cell>
          <cell r="C62" t="str">
            <v>D=150M/M</v>
          </cell>
          <cell r="D62">
            <v>1.5</v>
          </cell>
          <cell r="E62" t="str">
            <v>m</v>
          </cell>
        </row>
        <row r="63">
          <cell r="B63" t="str">
            <v>슬리브</v>
          </cell>
          <cell r="C63" t="str">
            <v>D=150,T=500</v>
          </cell>
          <cell r="D63">
            <v>5</v>
          </cell>
          <cell r="E63" t="str">
            <v>EA</v>
          </cell>
        </row>
        <row r="64">
          <cell r="B64" t="str">
            <v>슬리브</v>
          </cell>
          <cell r="C64" t="str">
            <v>D=200,T=500</v>
          </cell>
          <cell r="D64">
            <v>2</v>
          </cell>
          <cell r="E64" t="str">
            <v>EA</v>
          </cell>
        </row>
        <row r="65">
          <cell r="B65" t="str">
            <v>슬리브</v>
          </cell>
          <cell r="C65" t="str">
            <v>D=500,T=500</v>
          </cell>
          <cell r="D65">
            <v>1</v>
          </cell>
          <cell r="E65" t="str">
            <v>EA</v>
          </cell>
        </row>
        <row r="66">
          <cell r="B66" t="str">
            <v>슬리브</v>
          </cell>
          <cell r="C66" t="str">
            <v>D=300,T=500</v>
          </cell>
          <cell r="D66">
            <v>1</v>
          </cell>
          <cell r="E66" t="str">
            <v>EA</v>
          </cell>
        </row>
        <row r="67">
          <cell r="B67" t="str">
            <v>JOINT-FILLER</v>
          </cell>
          <cell r="C67" t="str">
            <v>T=20M/M</v>
          </cell>
          <cell r="D67">
            <v>22.15</v>
          </cell>
          <cell r="E67" t="str">
            <v>m2</v>
          </cell>
        </row>
        <row r="68">
          <cell r="B68" t="str">
            <v>실런트</v>
          </cell>
          <cell r="C68" t="str">
            <v>T=20M/M</v>
          </cell>
          <cell r="D68">
            <v>70.349999999999994</v>
          </cell>
          <cell r="E68" t="str">
            <v>m</v>
          </cell>
        </row>
        <row r="69">
          <cell r="B69" t="str">
            <v>흙채움</v>
          </cell>
          <cell r="C69" t="str">
            <v>인력</v>
          </cell>
          <cell r="D69">
            <v>485.36</v>
          </cell>
          <cell r="E69" t="str">
            <v>m2</v>
          </cell>
        </row>
        <row r="70">
          <cell r="B70" t="str">
            <v>철근가공및조립</v>
          </cell>
          <cell r="C70" t="str">
            <v>복잡</v>
          </cell>
          <cell r="D70">
            <v>150.38300000000001</v>
          </cell>
          <cell r="E70" t="str">
            <v>TON</v>
          </cell>
        </row>
        <row r="71">
          <cell r="B71" t="str">
            <v>PC PILE항타</v>
          </cell>
          <cell r="C71" t="str">
            <v>천공후항타</v>
          </cell>
          <cell r="D71">
            <v>6</v>
          </cell>
          <cell r="E71" t="str">
            <v>본</v>
          </cell>
        </row>
        <row r="72">
          <cell r="B72" t="str">
            <v>말뚝박기용천공</v>
          </cell>
          <cell r="C72" t="str">
            <v>토사</v>
          </cell>
          <cell r="D72">
            <v>54</v>
          </cell>
          <cell r="E72" t="str">
            <v>m</v>
          </cell>
        </row>
        <row r="73">
          <cell r="B73" t="str">
            <v>PC 파일두부보강</v>
          </cell>
          <cell r="C73" t="str">
            <v>T=500,L=9.0M</v>
          </cell>
          <cell r="D73">
            <v>6</v>
          </cell>
          <cell r="E73" t="str">
            <v>본</v>
          </cell>
        </row>
        <row r="74">
          <cell r="B74" t="str">
            <v>SHEET-PILE항타인발</v>
          </cell>
          <cell r="C74" t="str">
            <v>L=9.0M</v>
          </cell>
          <cell r="D74">
            <v>75</v>
          </cell>
          <cell r="E74" t="str">
            <v>본</v>
          </cell>
        </row>
        <row r="75">
          <cell r="B75" t="str">
            <v>SHEET-PILE</v>
          </cell>
          <cell r="C75" t="str">
            <v>임대료</v>
          </cell>
          <cell r="D75">
            <v>1</v>
          </cell>
          <cell r="E75" t="str">
            <v>식</v>
          </cell>
        </row>
        <row r="76">
          <cell r="B76" t="str">
            <v>2)유량조정조</v>
          </cell>
        </row>
        <row r="77">
          <cell r="B77" t="str">
            <v>콘크리트펌프카타설</v>
          </cell>
          <cell r="C77" t="str">
            <v>무근</v>
          </cell>
          <cell r="D77">
            <v>26.79</v>
          </cell>
          <cell r="E77" t="str">
            <v>m3</v>
          </cell>
        </row>
        <row r="78">
          <cell r="B78" t="str">
            <v>콘크리트펌프카타설</v>
          </cell>
          <cell r="C78" t="str">
            <v>철근</v>
          </cell>
          <cell r="D78">
            <v>401.3</v>
          </cell>
          <cell r="E78" t="str">
            <v>m3</v>
          </cell>
        </row>
        <row r="79">
          <cell r="B79" t="str">
            <v>합판거푸집</v>
          </cell>
          <cell r="C79" t="str">
            <v>6회</v>
          </cell>
          <cell r="D79">
            <v>7.39</v>
          </cell>
          <cell r="E79" t="str">
            <v>m2</v>
          </cell>
        </row>
        <row r="80">
          <cell r="B80" t="str">
            <v>합판거푸집</v>
          </cell>
          <cell r="C80" t="str">
            <v>3회</v>
          </cell>
          <cell r="D80">
            <v>163.88</v>
          </cell>
          <cell r="E80" t="str">
            <v>m2</v>
          </cell>
        </row>
        <row r="81">
          <cell r="B81" t="str">
            <v>원형거푸집</v>
          </cell>
          <cell r="C81" t="str">
            <v>3회</v>
          </cell>
          <cell r="D81">
            <v>252.8</v>
          </cell>
          <cell r="E81" t="str">
            <v>m2</v>
          </cell>
        </row>
        <row r="82">
          <cell r="B82" t="str">
            <v>FORM-TIE</v>
          </cell>
          <cell r="C82" t="str">
            <v>3회 T=800</v>
          </cell>
          <cell r="D82">
            <v>680.73</v>
          </cell>
          <cell r="E82" t="str">
            <v>m2</v>
          </cell>
        </row>
        <row r="83">
          <cell r="B83" t="str">
            <v>FORM-TIE</v>
          </cell>
          <cell r="C83" t="str">
            <v>3회 T=500</v>
          </cell>
          <cell r="D83">
            <v>237.56</v>
          </cell>
          <cell r="E83" t="str">
            <v>m2</v>
          </cell>
        </row>
        <row r="84">
          <cell r="B84" t="str">
            <v>강관동바리(3개월)</v>
          </cell>
          <cell r="C84" t="str">
            <v>4.2M이상</v>
          </cell>
          <cell r="D84">
            <v>31.68</v>
          </cell>
          <cell r="E84" t="str">
            <v>공/m3</v>
          </cell>
        </row>
        <row r="85">
          <cell r="B85" t="str">
            <v>강관동바리(3개월)</v>
          </cell>
          <cell r="C85" t="str">
            <v>4.2M이하</v>
          </cell>
          <cell r="D85">
            <v>611.74</v>
          </cell>
          <cell r="E85" t="str">
            <v>공/m3</v>
          </cell>
        </row>
        <row r="86">
          <cell r="B86" t="str">
            <v>강관비계매기</v>
          </cell>
          <cell r="C86" t="str">
            <v>3개월</v>
          </cell>
          <cell r="D86">
            <v>510</v>
          </cell>
          <cell r="E86" t="str">
            <v>m2</v>
          </cell>
        </row>
        <row r="87">
          <cell r="B87" t="str">
            <v>침투성+수성페인트</v>
          </cell>
          <cell r="D87">
            <v>173.84</v>
          </cell>
          <cell r="E87" t="str">
            <v>m2</v>
          </cell>
        </row>
        <row r="88">
          <cell r="B88" t="str">
            <v>지수판설치</v>
          </cell>
          <cell r="C88" t="str">
            <v>B=230,T=5MM</v>
          </cell>
          <cell r="D88">
            <v>131.5</v>
          </cell>
          <cell r="E88" t="str">
            <v>m</v>
          </cell>
        </row>
        <row r="89">
          <cell r="B89" t="str">
            <v>양 생</v>
          </cell>
          <cell r="C89" t="str">
            <v>비닐</v>
          </cell>
          <cell r="D89">
            <v>238.04</v>
          </cell>
          <cell r="E89" t="str">
            <v>m2</v>
          </cell>
        </row>
        <row r="90">
          <cell r="B90" t="str">
            <v>시공이음면정리</v>
          </cell>
          <cell r="D90">
            <v>48.89</v>
          </cell>
          <cell r="E90" t="str">
            <v>m2</v>
          </cell>
        </row>
        <row r="91">
          <cell r="B91" t="str">
            <v>난간(STS)</v>
          </cell>
          <cell r="C91" t="str">
            <v>수평(1.2M)</v>
          </cell>
          <cell r="D91">
            <v>39.29</v>
          </cell>
          <cell r="E91" t="str">
            <v>스판</v>
          </cell>
        </row>
        <row r="92">
          <cell r="B92" t="str">
            <v>난간(STS)</v>
          </cell>
          <cell r="C92" t="str">
            <v>경사(0.9M)</v>
          </cell>
          <cell r="D92">
            <v>13.06</v>
          </cell>
          <cell r="E92" t="str">
            <v>스판</v>
          </cell>
        </row>
        <row r="93">
          <cell r="B93" t="str">
            <v>슬리브</v>
          </cell>
          <cell r="C93" t="str">
            <v>D=300,T=400</v>
          </cell>
          <cell r="D93">
            <v>2</v>
          </cell>
          <cell r="E93" t="str">
            <v>EA</v>
          </cell>
        </row>
        <row r="94">
          <cell r="B94" t="str">
            <v>철근가공및조립</v>
          </cell>
          <cell r="C94" t="str">
            <v>복잡</v>
          </cell>
          <cell r="D94">
            <v>43.308</v>
          </cell>
          <cell r="E94" t="str">
            <v>TON</v>
          </cell>
        </row>
        <row r="95">
          <cell r="B95" t="str">
            <v>FORM-TIE 구멍채우기</v>
          </cell>
          <cell r="D95">
            <v>873</v>
          </cell>
          <cell r="E95" t="str">
            <v>EA</v>
          </cell>
        </row>
        <row r="96">
          <cell r="B96" t="str">
            <v>3)유입유량계실</v>
          </cell>
        </row>
        <row r="97">
          <cell r="B97" t="str">
            <v>콘크리트펌프카타설</v>
          </cell>
          <cell r="C97" t="str">
            <v>무근</v>
          </cell>
          <cell r="D97">
            <v>3.57</v>
          </cell>
          <cell r="E97" t="str">
            <v>m3</v>
          </cell>
        </row>
        <row r="98">
          <cell r="B98" t="str">
            <v>콘크리트펌프카타설</v>
          </cell>
          <cell r="C98" t="str">
            <v>철근</v>
          </cell>
          <cell r="D98">
            <v>26.79</v>
          </cell>
          <cell r="E98" t="str">
            <v>m3</v>
          </cell>
        </row>
        <row r="99">
          <cell r="B99" t="str">
            <v>합판거푸집</v>
          </cell>
          <cell r="C99" t="str">
            <v>6회</v>
          </cell>
          <cell r="D99">
            <v>1.98</v>
          </cell>
          <cell r="E99" t="str">
            <v>m2</v>
          </cell>
        </row>
        <row r="100">
          <cell r="B100" t="str">
            <v>합판거푸집</v>
          </cell>
          <cell r="C100" t="str">
            <v>3회</v>
          </cell>
          <cell r="D100">
            <v>37.82</v>
          </cell>
          <cell r="E100" t="str">
            <v>m2</v>
          </cell>
        </row>
        <row r="101">
          <cell r="B101" t="str">
            <v>FORM-TIE</v>
          </cell>
          <cell r="C101" t="str">
            <v>3회 T=300</v>
          </cell>
          <cell r="D101">
            <v>84</v>
          </cell>
          <cell r="E101" t="str">
            <v>m2</v>
          </cell>
        </row>
        <row r="102">
          <cell r="B102" t="str">
            <v>강관동바리(3개월)</v>
          </cell>
          <cell r="C102" t="str">
            <v>4.2M이하</v>
          </cell>
          <cell r="D102">
            <v>40.5</v>
          </cell>
          <cell r="E102" t="str">
            <v>공/m3</v>
          </cell>
        </row>
        <row r="103">
          <cell r="B103" t="str">
            <v>강관비계매기</v>
          </cell>
          <cell r="C103" t="str">
            <v>3개월</v>
          </cell>
          <cell r="D103">
            <v>97.2</v>
          </cell>
          <cell r="E103" t="str">
            <v>m2</v>
          </cell>
        </row>
        <row r="104">
          <cell r="B104" t="str">
            <v>모체침투성방수</v>
          </cell>
          <cell r="D104">
            <v>58.38</v>
          </cell>
          <cell r="E104" t="str">
            <v>m2</v>
          </cell>
        </row>
        <row r="105">
          <cell r="B105" t="str">
            <v>지수판설치</v>
          </cell>
          <cell r="C105" t="str">
            <v>B=230,T=5MM</v>
          </cell>
          <cell r="D105">
            <v>16.2</v>
          </cell>
          <cell r="E105" t="str">
            <v>m</v>
          </cell>
        </row>
        <row r="106">
          <cell r="B106" t="str">
            <v>양 생</v>
          </cell>
          <cell r="C106" t="str">
            <v>비닐</v>
          </cell>
          <cell r="D106">
            <v>29.46</v>
          </cell>
          <cell r="E106" t="str">
            <v>m2</v>
          </cell>
        </row>
        <row r="107">
          <cell r="B107" t="str">
            <v>시공이음면정리</v>
          </cell>
          <cell r="D107">
            <v>4.8600000000000003</v>
          </cell>
          <cell r="E107" t="str">
            <v>m2</v>
          </cell>
        </row>
        <row r="108">
          <cell r="B108" t="str">
            <v>FORM-TIE 구멍채우기</v>
          </cell>
          <cell r="D108">
            <v>90</v>
          </cell>
          <cell r="E108" t="str">
            <v>EA</v>
          </cell>
        </row>
        <row r="109">
          <cell r="B109" t="str">
            <v>사다리설치</v>
          </cell>
          <cell r="C109" t="str">
            <v>A-TYPE</v>
          </cell>
          <cell r="D109">
            <v>51</v>
          </cell>
          <cell r="E109" t="str">
            <v>EA</v>
          </cell>
        </row>
        <row r="110">
          <cell r="B110" t="str">
            <v>철근가공및조립</v>
          </cell>
          <cell r="C110" t="str">
            <v>복잡</v>
          </cell>
          <cell r="D110">
            <v>2.9009999999999998</v>
          </cell>
          <cell r="E110" t="str">
            <v>TON</v>
          </cell>
        </row>
        <row r="111">
          <cell r="B111" t="str">
            <v>슬리브</v>
          </cell>
          <cell r="C111" t="str">
            <v>D=500,T=300</v>
          </cell>
          <cell r="D111">
            <v>2</v>
          </cell>
          <cell r="E111" t="str">
            <v>EA</v>
          </cell>
        </row>
        <row r="112">
          <cell r="B112" t="str">
            <v>PC PILE항타</v>
          </cell>
          <cell r="C112" t="str">
            <v>천공후항타</v>
          </cell>
          <cell r="D112">
            <v>4</v>
          </cell>
          <cell r="E112" t="str">
            <v>본</v>
          </cell>
        </row>
        <row r="113">
          <cell r="B113" t="str">
            <v>말뚝박기용천공</v>
          </cell>
          <cell r="C113" t="str">
            <v>토사</v>
          </cell>
          <cell r="D113">
            <v>28</v>
          </cell>
          <cell r="E113" t="str">
            <v>m</v>
          </cell>
        </row>
        <row r="114">
          <cell r="B114" t="str">
            <v>PC 파일두부보강</v>
          </cell>
          <cell r="C114" t="str">
            <v>T=400,L=7.0M</v>
          </cell>
          <cell r="D114">
            <v>4</v>
          </cell>
          <cell r="E114" t="str">
            <v>본</v>
          </cell>
        </row>
        <row r="115">
          <cell r="B115" t="str">
            <v>무늬철판뚜껑</v>
          </cell>
          <cell r="C115" t="str">
            <v>1222*1222</v>
          </cell>
          <cell r="D115">
            <v>1</v>
          </cell>
          <cell r="E115" t="str">
            <v>EA</v>
          </cell>
        </row>
        <row r="116">
          <cell r="B116" t="str">
            <v>4)최초침전지분배조</v>
          </cell>
        </row>
        <row r="117">
          <cell r="B117" t="str">
            <v>콘크리트펌프카타설</v>
          </cell>
          <cell r="C117" t="str">
            <v>무근</v>
          </cell>
          <cell r="D117">
            <v>6.84</v>
          </cell>
          <cell r="E117" t="str">
            <v>m3</v>
          </cell>
        </row>
        <row r="118">
          <cell r="B118" t="str">
            <v>콘크리트펌프카타설</v>
          </cell>
          <cell r="C118" t="str">
            <v>철근</v>
          </cell>
          <cell r="D118">
            <v>107.27</v>
          </cell>
          <cell r="E118" t="str">
            <v>m3</v>
          </cell>
        </row>
        <row r="119">
          <cell r="B119" t="str">
            <v>합판거푸집</v>
          </cell>
          <cell r="C119" t="str">
            <v>6회</v>
          </cell>
          <cell r="D119">
            <v>4.28</v>
          </cell>
          <cell r="E119" t="str">
            <v>m2</v>
          </cell>
        </row>
        <row r="120">
          <cell r="B120" t="str">
            <v>합판거푸집</v>
          </cell>
          <cell r="C120" t="str">
            <v>3회</v>
          </cell>
          <cell r="D120">
            <v>169.13</v>
          </cell>
          <cell r="E120" t="str">
            <v>m2</v>
          </cell>
        </row>
        <row r="121">
          <cell r="B121" t="str">
            <v>FORM-TIE</v>
          </cell>
          <cell r="C121" t="str">
            <v>3회 T=400</v>
          </cell>
          <cell r="D121">
            <v>218.25</v>
          </cell>
          <cell r="E121" t="str">
            <v>m2</v>
          </cell>
        </row>
        <row r="122">
          <cell r="B122" t="str">
            <v>FORM-TIE</v>
          </cell>
          <cell r="C122" t="str">
            <v>3회 T=300</v>
          </cell>
          <cell r="D122">
            <v>53.04</v>
          </cell>
          <cell r="E122" t="str">
            <v>m2</v>
          </cell>
        </row>
        <row r="123">
          <cell r="B123" t="str">
            <v>강관동바리(3개월)</v>
          </cell>
          <cell r="C123" t="str">
            <v>4.2M이상</v>
          </cell>
          <cell r="D123">
            <v>64.87</v>
          </cell>
          <cell r="E123" t="str">
            <v>공/m3</v>
          </cell>
        </row>
        <row r="124">
          <cell r="B124" t="str">
            <v>강관동바리(3개월)</v>
          </cell>
          <cell r="C124" t="str">
            <v>4.2M이하</v>
          </cell>
          <cell r="D124">
            <v>61.94</v>
          </cell>
          <cell r="E124" t="str">
            <v>공/m3</v>
          </cell>
        </row>
        <row r="125">
          <cell r="B125" t="str">
            <v>강관비계매기</v>
          </cell>
          <cell r="C125" t="str">
            <v>3개월</v>
          </cell>
          <cell r="D125">
            <v>97.2</v>
          </cell>
          <cell r="E125" t="str">
            <v>m2</v>
          </cell>
        </row>
        <row r="126">
          <cell r="B126" t="str">
            <v>모체침투성방수</v>
          </cell>
          <cell r="D126">
            <v>58.38</v>
          </cell>
          <cell r="E126" t="str">
            <v>m2</v>
          </cell>
        </row>
        <row r="127">
          <cell r="B127" t="str">
            <v>아스팔트방수</v>
          </cell>
          <cell r="C127" t="str">
            <v>2회</v>
          </cell>
          <cell r="D127">
            <v>118.93</v>
          </cell>
          <cell r="E127" t="str">
            <v>m2</v>
          </cell>
        </row>
        <row r="128">
          <cell r="B128" t="str">
            <v>에폭시방수</v>
          </cell>
          <cell r="D128">
            <v>54.43</v>
          </cell>
          <cell r="E128" t="str">
            <v>m2</v>
          </cell>
        </row>
        <row r="129">
          <cell r="B129" t="str">
            <v>지수판설치</v>
          </cell>
          <cell r="C129" t="str">
            <v>B=230,T=5MM</v>
          </cell>
          <cell r="D129">
            <v>16.2</v>
          </cell>
          <cell r="E129" t="str">
            <v>m</v>
          </cell>
        </row>
        <row r="130">
          <cell r="B130" t="str">
            <v>양 생</v>
          </cell>
          <cell r="C130" t="str">
            <v>비닐</v>
          </cell>
          <cell r="D130">
            <v>23.29</v>
          </cell>
          <cell r="E130" t="str">
            <v>m2</v>
          </cell>
        </row>
        <row r="131">
          <cell r="B131" t="str">
            <v>시공이음면정리</v>
          </cell>
          <cell r="D131">
            <v>18.43</v>
          </cell>
          <cell r="E131" t="str">
            <v>m2</v>
          </cell>
        </row>
        <row r="132">
          <cell r="B132" t="str">
            <v>난간(STS)</v>
          </cell>
          <cell r="C132" t="str">
            <v>수평(1.2M)</v>
          </cell>
          <cell r="D132">
            <v>9.17</v>
          </cell>
          <cell r="E132" t="str">
            <v>스판</v>
          </cell>
        </row>
        <row r="133">
          <cell r="B133" t="str">
            <v>난간(STS)</v>
          </cell>
          <cell r="C133" t="str">
            <v>경사(0.9M)</v>
          </cell>
          <cell r="D133">
            <v>10.33</v>
          </cell>
          <cell r="E133" t="str">
            <v>스판</v>
          </cell>
        </row>
        <row r="134">
          <cell r="B134" t="str">
            <v>사다리설치</v>
          </cell>
          <cell r="C134" t="str">
            <v>A-TYPE</v>
          </cell>
          <cell r="D134">
            <v>40</v>
          </cell>
          <cell r="E134" t="str">
            <v>EA</v>
          </cell>
        </row>
        <row r="135">
          <cell r="B135" t="str">
            <v>PVC PIPE T S 접합</v>
          </cell>
          <cell r="C135" t="str">
            <v>D=100M/M</v>
          </cell>
          <cell r="D135">
            <v>0.4</v>
          </cell>
          <cell r="E135" t="str">
            <v>m</v>
          </cell>
        </row>
        <row r="136">
          <cell r="B136" t="str">
            <v>출입문설치</v>
          </cell>
          <cell r="C136" t="str">
            <v>900*2100</v>
          </cell>
          <cell r="D136">
            <v>1.89</v>
          </cell>
          <cell r="E136" t="str">
            <v>m2</v>
          </cell>
        </row>
        <row r="137">
          <cell r="B137" t="str">
            <v>철근가공및조립</v>
          </cell>
          <cell r="C137" t="str">
            <v>복잡</v>
          </cell>
          <cell r="D137">
            <v>11.427</v>
          </cell>
          <cell r="E137" t="str">
            <v>TON</v>
          </cell>
        </row>
        <row r="138">
          <cell r="A138">
            <v>13</v>
          </cell>
          <cell r="B138" t="str">
            <v>FORM-TIE 구멍채우기</v>
          </cell>
          <cell r="D138">
            <v>290</v>
          </cell>
          <cell r="E138" t="str">
            <v>EA</v>
          </cell>
        </row>
        <row r="139">
          <cell r="B139" t="str">
            <v>슬리브</v>
          </cell>
          <cell r="C139" t="str">
            <v>D=300,T=300</v>
          </cell>
          <cell r="D139">
            <v>2</v>
          </cell>
          <cell r="E139" t="str">
            <v>EA</v>
          </cell>
        </row>
        <row r="140">
          <cell r="B140" t="str">
            <v>슬리브</v>
          </cell>
          <cell r="C140" t="str">
            <v>D=400,T=300</v>
          </cell>
          <cell r="D140">
            <v>1</v>
          </cell>
          <cell r="E140" t="str">
            <v>EA</v>
          </cell>
        </row>
        <row r="141">
          <cell r="B141" t="str">
            <v>PC PILE항타</v>
          </cell>
          <cell r="C141" t="str">
            <v>천공후항타</v>
          </cell>
          <cell r="D141">
            <v>9</v>
          </cell>
          <cell r="E141" t="str">
            <v>본</v>
          </cell>
        </row>
        <row r="142">
          <cell r="B142" t="str">
            <v>말뚝박기용천공</v>
          </cell>
          <cell r="C142" t="str">
            <v>토사</v>
          </cell>
          <cell r="D142">
            <v>45</v>
          </cell>
          <cell r="E142" t="str">
            <v>m</v>
          </cell>
        </row>
        <row r="143">
          <cell r="B143" t="str">
            <v>PC 파일두부보강</v>
          </cell>
          <cell r="C143" t="str">
            <v>T=500,L=5.0M</v>
          </cell>
          <cell r="D143">
            <v>9</v>
          </cell>
          <cell r="E143" t="str">
            <v>본</v>
          </cell>
        </row>
        <row r="144">
          <cell r="B144" t="str">
            <v>5)최초침전지</v>
          </cell>
        </row>
        <row r="145">
          <cell r="B145" t="str">
            <v>콘크리트펌프카타설</v>
          </cell>
          <cell r="C145" t="str">
            <v>무근</v>
          </cell>
          <cell r="D145">
            <v>57.44</v>
          </cell>
          <cell r="E145" t="str">
            <v>m3</v>
          </cell>
        </row>
        <row r="146">
          <cell r="B146" t="str">
            <v>콘크리트펌프카타설</v>
          </cell>
          <cell r="C146" t="str">
            <v>철근</v>
          </cell>
          <cell r="D146">
            <v>250.78</v>
          </cell>
          <cell r="E146" t="str">
            <v>m3</v>
          </cell>
        </row>
        <row r="147">
          <cell r="B147" t="str">
            <v>합판거푸집</v>
          </cell>
          <cell r="C147" t="str">
            <v>6회</v>
          </cell>
          <cell r="D147">
            <v>78.12</v>
          </cell>
          <cell r="E147" t="str">
            <v>m2</v>
          </cell>
        </row>
        <row r="148">
          <cell r="B148" t="str">
            <v>합판거푸집</v>
          </cell>
          <cell r="C148" t="str">
            <v>3회</v>
          </cell>
          <cell r="D148">
            <v>32.619999999999997</v>
          </cell>
          <cell r="E148" t="str">
            <v>m2</v>
          </cell>
        </row>
        <row r="149">
          <cell r="B149" t="str">
            <v>원형거푸집</v>
          </cell>
          <cell r="C149" t="str">
            <v>3회</v>
          </cell>
          <cell r="D149">
            <v>732.06</v>
          </cell>
          <cell r="E149" t="str">
            <v>m2</v>
          </cell>
        </row>
        <row r="150">
          <cell r="B150" t="str">
            <v>강관동바리(3개월)</v>
          </cell>
          <cell r="C150" t="str">
            <v>4.2M이하</v>
          </cell>
          <cell r="D150">
            <v>84.4</v>
          </cell>
          <cell r="E150" t="str">
            <v>공/m3</v>
          </cell>
        </row>
        <row r="151">
          <cell r="B151" t="str">
            <v>강관비계매기</v>
          </cell>
          <cell r="C151" t="str">
            <v>3개월</v>
          </cell>
          <cell r="D151">
            <v>382.64</v>
          </cell>
          <cell r="E151" t="str">
            <v>m2</v>
          </cell>
        </row>
        <row r="152">
          <cell r="B152" t="str">
            <v>에폭시방수</v>
          </cell>
          <cell r="D152">
            <v>639.88</v>
          </cell>
          <cell r="E152" t="str">
            <v>m2</v>
          </cell>
        </row>
        <row r="153">
          <cell r="B153" t="str">
            <v>지수판설치</v>
          </cell>
          <cell r="C153" t="str">
            <v>B=230,T=5MM</v>
          </cell>
          <cell r="D153">
            <v>73.52</v>
          </cell>
          <cell r="E153" t="str">
            <v>m</v>
          </cell>
        </row>
        <row r="154">
          <cell r="B154" t="str">
            <v>양 생</v>
          </cell>
          <cell r="C154" t="str">
            <v>비닐</v>
          </cell>
          <cell r="D154">
            <v>100.4</v>
          </cell>
          <cell r="E154" t="str">
            <v>m2</v>
          </cell>
        </row>
        <row r="155">
          <cell r="A155">
            <v>14</v>
          </cell>
          <cell r="B155" t="str">
            <v>시공이음면정리</v>
          </cell>
          <cell r="D155">
            <v>29.4</v>
          </cell>
          <cell r="E155" t="str">
            <v>m2</v>
          </cell>
        </row>
        <row r="156">
          <cell r="B156" t="str">
            <v>사다리설치</v>
          </cell>
          <cell r="C156" t="str">
            <v>A-TYPE</v>
          </cell>
          <cell r="D156">
            <v>14</v>
          </cell>
          <cell r="E156" t="str">
            <v>EA</v>
          </cell>
        </row>
        <row r="157">
          <cell r="B157" t="str">
            <v>철근가공및조립</v>
          </cell>
          <cell r="C157" t="str">
            <v>복잡</v>
          </cell>
          <cell r="D157">
            <v>29.954000000000001</v>
          </cell>
          <cell r="E157" t="str">
            <v>TON</v>
          </cell>
        </row>
        <row r="158">
          <cell r="B158" t="str">
            <v>V-NOTCH 웨어</v>
          </cell>
          <cell r="D158">
            <v>64.08</v>
          </cell>
          <cell r="E158" t="str">
            <v>m</v>
          </cell>
        </row>
        <row r="159">
          <cell r="B159" t="str">
            <v>BAFFLE 웨어</v>
          </cell>
          <cell r="D159">
            <v>59.7</v>
          </cell>
          <cell r="E159" t="str">
            <v>m</v>
          </cell>
        </row>
        <row r="160">
          <cell r="B160" t="str">
            <v>PC PILE항타</v>
          </cell>
          <cell r="C160" t="str">
            <v>천공후항타</v>
          </cell>
          <cell r="D160">
            <v>48</v>
          </cell>
          <cell r="E160" t="str">
            <v>본</v>
          </cell>
        </row>
        <row r="161">
          <cell r="B161" t="str">
            <v>말뚝박기용천공</v>
          </cell>
          <cell r="C161" t="str">
            <v>토사</v>
          </cell>
          <cell r="D161">
            <v>416</v>
          </cell>
          <cell r="E161" t="str">
            <v>m</v>
          </cell>
        </row>
        <row r="162">
          <cell r="B162" t="str">
            <v>PC 파일두부보강</v>
          </cell>
          <cell r="C162" t="str">
            <v>T=500,L=7.0M</v>
          </cell>
          <cell r="D162">
            <v>8</v>
          </cell>
          <cell r="E162" t="str">
            <v>본</v>
          </cell>
        </row>
        <row r="163">
          <cell r="B163" t="str">
            <v>PC 파일두부보강</v>
          </cell>
          <cell r="C163" t="str">
            <v>T=500,L=9.0M</v>
          </cell>
          <cell r="D163">
            <v>40</v>
          </cell>
          <cell r="E163" t="str">
            <v>본</v>
          </cell>
        </row>
        <row r="164">
          <cell r="B164" t="str">
            <v>슬리브</v>
          </cell>
          <cell r="C164" t="str">
            <v>D=400,T=200</v>
          </cell>
          <cell r="D164">
            <v>2</v>
          </cell>
          <cell r="E164" t="str">
            <v>EA</v>
          </cell>
        </row>
        <row r="165">
          <cell r="B165" t="str">
            <v>6)스컴분리대</v>
          </cell>
        </row>
        <row r="166">
          <cell r="B166" t="str">
            <v>콘크리트펌프카타설</v>
          </cell>
          <cell r="C166" t="str">
            <v>무근</v>
          </cell>
          <cell r="D166">
            <v>2.96</v>
          </cell>
          <cell r="E166" t="str">
            <v>m3</v>
          </cell>
        </row>
        <row r="167">
          <cell r="B167" t="str">
            <v>콘크리트펌프카타설</v>
          </cell>
          <cell r="C167" t="str">
            <v>철근</v>
          </cell>
          <cell r="D167">
            <v>26.64</v>
          </cell>
          <cell r="E167" t="str">
            <v>m3</v>
          </cell>
        </row>
        <row r="168">
          <cell r="B168" t="str">
            <v>합판거푸집</v>
          </cell>
          <cell r="C168" t="str">
            <v>6회</v>
          </cell>
          <cell r="D168">
            <v>2.44</v>
          </cell>
          <cell r="E168" t="str">
            <v>m2</v>
          </cell>
        </row>
        <row r="169">
          <cell r="B169" t="str">
            <v>합판거푸집</v>
          </cell>
          <cell r="C169" t="str">
            <v>3회</v>
          </cell>
          <cell r="D169">
            <v>232.72</v>
          </cell>
          <cell r="E169" t="str">
            <v>m2</v>
          </cell>
        </row>
        <row r="170">
          <cell r="B170" t="str">
            <v>강관동바리(3개월)</v>
          </cell>
          <cell r="C170" t="str">
            <v>4.2M이하</v>
          </cell>
          <cell r="D170">
            <v>7.36</v>
          </cell>
          <cell r="E170" t="str">
            <v>공/m3</v>
          </cell>
        </row>
        <row r="171">
          <cell r="B171" t="str">
            <v>강관비계매기</v>
          </cell>
          <cell r="C171" t="str">
            <v>3개월</v>
          </cell>
          <cell r="D171">
            <v>112.48</v>
          </cell>
          <cell r="E171" t="str">
            <v>m2</v>
          </cell>
        </row>
        <row r="172">
          <cell r="A172">
            <v>18</v>
          </cell>
          <cell r="B172" t="str">
            <v>에폭시방수</v>
          </cell>
          <cell r="D172">
            <v>64.78</v>
          </cell>
          <cell r="E172" t="str">
            <v>m2</v>
          </cell>
        </row>
        <row r="173">
          <cell r="B173" t="str">
            <v>지수판설치</v>
          </cell>
          <cell r="C173" t="str">
            <v>B=230,T=5MM</v>
          </cell>
          <cell r="D173">
            <v>27.6</v>
          </cell>
          <cell r="E173" t="str">
            <v>m</v>
          </cell>
        </row>
        <row r="174">
          <cell r="B174" t="str">
            <v>양 생</v>
          </cell>
          <cell r="C174" t="str">
            <v>비닐</v>
          </cell>
          <cell r="D174">
            <v>42.72</v>
          </cell>
          <cell r="E174" t="str">
            <v>m2</v>
          </cell>
        </row>
        <row r="175">
          <cell r="B175" t="str">
            <v>시공이음면정리</v>
          </cell>
          <cell r="D175">
            <v>4.88</v>
          </cell>
          <cell r="E175" t="str">
            <v>m2</v>
          </cell>
        </row>
        <row r="176">
          <cell r="B176" t="str">
            <v>사다리설치</v>
          </cell>
          <cell r="C176" t="str">
            <v>A-TYPE</v>
          </cell>
          <cell r="D176">
            <v>24</v>
          </cell>
          <cell r="E176" t="str">
            <v>EA</v>
          </cell>
        </row>
        <row r="177">
          <cell r="B177" t="str">
            <v>모래채움</v>
          </cell>
          <cell r="D177">
            <v>7.32</v>
          </cell>
          <cell r="E177" t="str">
            <v>m3</v>
          </cell>
        </row>
        <row r="178">
          <cell r="B178" t="str">
            <v>철근가공및조립</v>
          </cell>
          <cell r="C178" t="str">
            <v>복잡</v>
          </cell>
          <cell r="D178">
            <v>3.6019999999999999</v>
          </cell>
          <cell r="E178" t="str">
            <v>TON</v>
          </cell>
        </row>
        <row r="179">
          <cell r="B179" t="str">
            <v>슬리브</v>
          </cell>
          <cell r="C179" t="str">
            <v>D=200,T=200</v>
          </cell>
          <cell r="D179">
            <v>2</v>
          </cell>
          <cell r="E179" t="str">
            <v>EA</v>
          </cell>
        </row>
        <row r="180">
          <cell r="B180" t="str">
            <v>PVC PIPE T S 접합</v>
          </cell>
          <cell r="C180" t="str">
            <v>D=100M/M</v>
          </cell>
          <cell r="D180">
            <v>0.4</v>
          </cell>
          <cell r="E180" t="str">
            <v>m</v>
          </cell>
        </row>
        <row r="181">
          <cell r="B181" t="str">
            <v>PC PILE항타</v>
          </cell>
          <cell r="C181" t="str">
            <v>천공후항타</v>
          </cell>
          <cell r="D181">
            <v>4</v>
          </cell>
          <cell r="E181" t="str">
            <v>본</v>
          </cell>
        </row>
        <row r="182">
          <cell r="B182" t="str">
            <v>말뚝박기용천공</v>
          </cell>
          <cell r="C182" t="str">
            <v>토사</v>
          </cell>
          <cell r="D182">
            <v>32</v>
          </cell>
          <cell r="E182" t="str">
            <v>m</v>
          </cell>
        </row>
        <row r="183">
          <cell r="B183" t="str">
            <v>PC 파일두부보강</v>
          </cell>
          <cell r="C183" t="str">
            <v>T=300,L=8.0M</v>
          </cell>
          <cell r="D183">
            <v>4</v>
          </cell>
          <cell r="E183" t="str">
            <v>본</v>
          </cell>
        </row>
        <row r="184">
          <cell r="B184" t="str">
            <v>7)R.B.C 분배조</v>
          </cell>
        </row>
        <row r="185">
          <cell r="B185" t="str">
            <v>콘크리트펌프카타설</v>
          </cell>
          <cell r="C185" t="str">
            <v>무근</v>
          </cell>
          <cell r="D185">
            <v>25.02</v>
          </cell>
          <cell r="E185" t="str">
            <v>m3</v>
          </cell>
        </row>
        <row r="186">
          <cell r="B186" t="str">
            <v>콘크리트펌프카타설</v>
          </cell>
          <cell r="C186" t="str">
            <v>철근</v>
          </cell>
          <cell r="D186">
            <v>123.15</v>
          </cell>
          <cell r="E186" t="str">
            <v>m3</v>
          </cell>
        </row>
        <row r="187">
          <cell r="B187" t="str">
            <v>합판거푸집</v>
          </cell>
          <cell r="C187" t="str">
            <v>6회</v>
          </cell>
          <cell r="D187">
            <v>11.34</v>
          </cell>
          <cell r="E187" t="str">
            <v>m2</v>
          </cell>
        </row>
        <row r="188">
          <cell r="B188" t="str">
            <v>합판거푸집</v>
          </cell>
          <cell r="C188" t="str">
            <v>3회</v>
          </cell>
          <cell r="D188">
            <v>200.23</v>
          </cell>
          <cell r="E188" t="str">
            <v>m2</v>
          </cell>
        </row>
        <row r="189">
          <cell r="A189">
            <v>16</v>
          </cell>
          <cell r="B189" t="str">
            <v>FORM-TIE</v>
          </cell>
          <cell r="C189" t="str">
            <v>3회 T=400</v>
          </cell>
          <cell r="D189">
            <v>139.08000000000001</v>
          </cell>
          <cell r="E189" t="str">
            <v>m2</v>
          </cell>
        </row>
        <row r="190">
          <cell r="B190" t="str">
            <v>FORM-TIE</v>
          </cell>
          <cell r="C190" t="str">
            <v>3회 T=300</v>
          </cell>
          <cell r="D190">
            <v>149.46</v>
          </cell>
          <cell r="E190" t="str">
            <v>m2</v>
          </cell>
        </row>
        <row r="191">
          <cell r="B191" t="str">
            <v>강관동바리(3개월)</v>
          </cell>
          <cell r="C191" t="str">
            <v>4.2M이하</v>
          </cell>
          <cell r="D191">
            <v>153.24</v>
          </cell>
          <cell r="E191" t="str">
            <v>공/m3</v>
          </cell>
        </row>
        <row r="192">
          <cell r="B192" t="str">
            <v>강관비계매기</v>
          </cell>
          <cell r="C192" t="str">
            <v>3개월</v>
          </cell>
          <cell r="D192">
            <v>135.44</v>
          </cell>
          <cell r="E192" t="str">
            <v>m2</v>
          </cell>
        </row>
        <row r="193">
          <cell r="B193" t="str">
            <v>모체침투성방수</v>
          </cell>
          <cell r="D193">
            <v>41.1</v>
          </cell>
          <cell r="E193" t="str">
            <v>m2</v>
          </cell>
        </row>
        <row r="194">
          <cell r="B194" t="str">
            <v>아스팔트방수</v>
          </cell>
          <cell r="C194" t="str">
            <v>2회</v>
          </cell>
          <cell r="D194">
            <v>11.39</v>
          </cell>
          <cell r="E194" t="str">
            <v>m2</v>
          </cell>
        </row>
        <row r="195">
          <cell r="B195" t="str">
            <v>에폭시방수</v>
          </cell>
          <cell r="D195">
            <v>116.2</v>
          </cell>
          <cell r="E195" t="str">
            <v>m2</v>
          </cell>
        </row>
        <row r="196">
          <cell r="B196" t="str">
            <v>지수판설치</v>
          </cell>
          <cell r="C196" t="str">
            <v>B=230,T=5MM</v>
          </cell>
          <cell r="D196">
            <v>48.75</v>
          </cell>
          <cell r="E196" t="str">
            <v>m</v>
          </cell>
        </row>
        <row r="197">
          <cell r="B197" t="str">
            <v>양 생</v>
          </cell>
          <cell r="C197" t="str">
            <v>비닐</v>
          </cell>
          <cell r="D197">
            <v>53.04</v>
          </cell>
          <cell r="E197" t="str">
            <v>m2</v>
          </cell>
        </row>
        <row r="198">
          <cell r="B198" t="str">
            <v>시공이음면정리</v>
          </cell>
          <cell r="D198">
            <v>18.87</v>
          </cell>
          <cell r="E198" t="str">
            <v>m2</v>
          </cell>
        </row>
        <row r="199">
          <cell r="B199" t="str">
            <v>사다리설치</v>
          </cell>
          <cell r="C199" t="str">
            <v>A-TYPE</v>
          </cell>
          <cell r="D199">
            <v>60</v>
          </cell>
          <cell r="E199" t="str">
            <v>EA</v>
          </cell>
        </row>
        <row r="200">
          <cell r="B200" t="str">
            <v>PVC PIPE T S 접합</v>
          </cell>
          <cell r="C200" t="str">
            <v>D=100M/M</v>
          </cell>
          <cell r="D200">
            <v>0.4</v>
          </cell>
          <cell r="E200" t="str">
            <v>m</v>
          </cell>
        </row>
        <row r="201">
          <cell r="B201" t="str">
            <v>PVC PIPE T S 접합</v>
          </cell>
          <cell r="C201" t="str">
            <v>D=150M/M</v>
          </cell>
          <cell r="D201">
            <v>9.6</v>
          </cell>
          <cell r="E201" t="str">
            <v>m</v>
          </cell>
        </row>
        <row r="202">
          <cell r="B202" t="str">
            <v>FORM-TIE 구멍채우기</v>
          </cell>
          <cell r="D202">
            <v>390</v>
          </cell>
          <cell r="E202" t="str">
            <v>EA</v>
          </cell>
        </row>
        <row r="203">
          <cell r="B203" t="str">
            <v>슬리브</v>
          </cell>
          <cell r="C203" t="str">
            <v>D=400,T=300</v>
          </cell>
          <cell r="D203">
            <v>3</v>
          </cell>
          <cell r="E203" t="str">
            <v>EA</v>
          </cell>
        </row>
        <row r="204">
          <cell r="B204" t="str">
            <v>슬리브</v>
          </cell>
          <cell r="C204" t="str">
            <v>D=250,T=300</v>
          </cell>
          <cell r="D204">
            <v>2</v>
          </cell>
          <cell r="E204" t="str">
            <v>EA</v>
          </cell>
        </row>
        <row r="205">
          <cell r="B205" t="str">
            <v>철근가공및조립</v>
          </cell>
          <cell r="C205" t="str">
            <v>복잡</v>
          </cell>
          <cell r="D205">
            <v>9.5640000000000001</v>
          </cell>
          <cell r="E205" t="str">
            <v>TON</v>
          </cell>
        </row>
        <row r="206">
          <cell r="A206">
            <v>17</v>
          </cell>
          <cell r="B206" t="str">
            <v>PC PILE항타</v>
          </cell>
          <cell r="C206" t="str">
            <v>천공후항타</v>
          </cell>
          <cell r="D206">
            <v>12</v>
          </cell>
          <cell r="E206" t="str">
            <v>본</v>
          </cell>
        </row>
        <row r="207">
          <cell r="B207" t="str">
            <v>말뚝박기용천공</v>
          </cell>
          <cell r="C207" t="str">
            <v>토사</v>
          </cell>
          <cell r="D207">
            <v>60</v>
          </cell>
          <cell r="E207" t="str">
            <v>m</v>
          </cell>
        </row>
        <row r="208">
          <cell r="B208" t="str">
            <v>PC 파일두부보강</v>
          </cell>
          <cell r="C208" t="str">
            <v>T=300,L=8.0M</v>
          </cell>
          <cell r="D208">
            <v>12</v>
          </cell>
          <cell r="E208" t="str">
            <v>본</v>
          </cell>
        </row>
        <row r="209">
          <cell r="B209" t="str">
            <v>PLATE 웨어</v>
          </cell>
          <cell r="D209">
            <v>3</v>
          </cell>
          <cell r="E209" t="str">
            <v>m</v>
          </cell>
        </row>
        <row r="210">
          <cell r="B210" t="str">
            <v>8)R.B.C 조</v>
          </cell>
        </row>
        <row r="211">
          <cell r="B211" t="str">
            <v>콘크리트펌프카타설</v>
          </cell>
          <cell r="C211" t="str">
            <v>무근</v>
          </cell>
          <cell r="D211">
            <v>119.52</v>
          </cell>
          <cell r="E211" t="str">
            <v>m3</v>
          </cell>
        </row>
        <row r="212">
          <cell r="B212" t="str">
            <v>콘크리트펌프카타설</v>
          </cell>
          <cell r="C212" t="str">
            <v>철근</v>
          </cell>
          <cell r="D212">
            <v>512.6</v>
          </cell>
          <cell r="E212" t="str">
            <v>m3</v>
          </cell>
        </row>
        <row r="213">
          <cell r="B213" t="str">
            <v>합판거푸집</v>
          </cell>
          <cell r="C213" t="str">
            <v>6회</v>
          </cell>
          <cell r="D213">
            <v>19.2</v>
          </cell>
          <cell r="E213" t="str">
            <v>m2</v>
          </cell>
        </row>
        <row r="214">
          <cell r="B214" t="str">
            <v>합판거푸집</v>
          </cell>
          <cell r="C214" t="str">
            <v>3회</v>
          </cell>
          <cell r="D214">
            <v>1793.98</v>
          </cell>
          <cell r="E214" t="str">
            <v>m2</v>
          </cell>
        </row>
        <row r="215">
          <cell r="B215" t="str">
            <v>강관비계매기</v>
          </cell>
          <cell r="C215" t="str">
            <v>3개월</v>
          </cell>
          <cell r="D215">
            <v>409.06</v>
          </cell>
          <cell r="E215" t="str">
            <v>m2</v>
          </cell>
        </row>
        <row r="216">
          <cell r="B216" t="str">
            <v>강관동바리(3개월)</v>
          </cell>
          <cell r="C216" t="str">
            <v>4.2M이하</v>
          </cell>
          <cell r="D216">
            <v>347.8</v>
          </cell>
          <cell r="E216" t="str">
            <v>공/m3</v>
          </cell>
        </row>
        <row r="217">
          <cell r="B217" t="str">
            <v>에폭시방수</v>
          </cell>
          <cell r="D217">
            <v>1076.68</v>
          </cell>
          <cell r="E217" t="str">
            <v>m2</v>
          </cell>
        </row>
        <row r="218">
          <cell r="B218" t="str">
            <v>지수판설치</v>
          </cell>
          <cell r="C218" t="str">
            <v>B=230,T=5MM</v>
          </cell>
          <cell r="D218">
            <v>159.76</v>
          </cell>
          <cell r="E218" t="str">
            <v>m</v>
          </cell>
        </row>
        <row r="219">
          <cell r="B219" t="str">
            <v>양 생</v>
          </cell>
          <cell r="C219" t="str">
            <v>비닐</v>
          </cell>
          <cell r="D219">
            <v>1023.48</v>
          </cell>
          <cell r="E219" t="str">
            <v>m2</v>
          </cell>
        </row>
        <row r="220">
          <cell r="B220" t="str">
            <v>시공이음면정리</v>
          </cell>
          <cell r="D220">
            <v>93.76</v>
          </cell>
          <cell r="E220" t="str">
            <v>m2</v>
          </cell>
        </row>
        <row r="221">
          <cell r="B221" t="str">
            <v>사다리설치</v>
          </cell>
          <cell r="C221" t="str">
            <v>A-TYPE</v>
          </cell>
          <cell r="D221">
            <v>36</v>
          </cell>
          <cell r="E221" t="str">
            <v>EA</v>
          </cell>
        </row>
        <row r="222">
          <cell r="B222" t="str">
            <v>무늬철판뚜껑</v>
          </cell>
          <cell r="C222" t="str">
            <v>850*850</v>
          </cell>
          <cell r="D222">
            <v>2</v>
          </cell>
          <cell r="E222" t="str">
            <v>EA</v>
          </cell>
        </row>
        <row r="223">
          <cell r="B223" t="str">
            <v>흙채움</v>
          </cell>
          <cell r="C223" t="str">
            <v>인력</v>
          </cell>
          <cell r="D223">
            <v>77.819999999999993</v>
          </cell>
          <cell r="E223" t="str">
            <v>m3</v>
          </cell>
        </row>
        <row r="224">
          <cell r="B224" t="str">
            <v>STOP-LOG</v>
          </cell>
          <cell r="D224">
            <v>4</v>
          </cell>
          <cell r="E224" t="str">
            <v>EA</v>
          </cell>
        </row>
        <row r="225">
          <cell r="B225" t="str">
            <v>슬리브</v>
          </cell>
          <cell r="C225" t="str">
            <v>D=200,T=300</v>
          </cell>
          <cell r="D225">
            <v>8</v>
          </cell>
          <cell r="E225" t="str">
            <v>EA</v>
          </cell>
        </row>
        <row r="226">
          <cell r="B226" t="str">
            <v>슬리브</v>
          </cell>
          <cell r="C226" t="str">
            <v>D=150,T=300</v>
          </cell>
          <cell r="D226">
            <v>2</v>
          </cell>
          <cell r="E226" t="str">
            <v>EA</v>
          </cell>
        </row>
        <row r="227">
          <cell r="B227" t="str">
            <v>슬리브</v>
          </cell>
          <cell r="C227" t="str">
            <v>D=150,T=200</v>
          </cell>
          <cell r="D227">
            <v>4</v>
          </cell>
          <cell r="E227" t="str">
            <v>EA</v>
          </cell>
        </row>
        <row r="228">
          <cell r="B228" t="str">
            <v>PVC PIPE T S 접합</v>
          </cell>
          <cell r="C228" t="str">
            <v>D=150M/M</v>
          </cell>
          <cell r="D228">
            <v>3</v>
          </cell>
          <cell r="E228" t="str">
            <v>m</v>
          </cell>
        </row>
        <row r="229">
          <cell r="B229" t="str">
            <v>철근가공및조립</v>
          </cell>
          <cell r="C229" t="str">
            <v>복잡</v>
          </cell>
          <cell r="D229">
            <v>50.387999999999998</v>
          </cell>
          <cell r="E229" t="str">
            <v>TON</v>
          </cell>
        </row>
        <row r="230">
          <cell r="B230" t="str">
            <v>PC PILE항타</v>
          </cell>
          <cell r="C230" t="str">
            <v>천공후항타</v>
          </cell>
          <cell r="D230">
            <v>12</v>
          </cell>
          <cell r="E230" t="str">
            <v>본</v>
          </cell>
        </row>
        <row r="231">
          <cell r="B231" t="str">
            <v>말뚝박기용천공</v>
          </cell>
          <cell r="C231" t="str">
            <v>토사</v>
          </cell>
          <cell r="D231">
            <v>60</v>
          </cell>
          <cell r="E231" t="str">
            <v>m</v>
          </cell>
        </row>
        <row r="232">
          <cell r="B232" t="str">
            <v>PC 파일두부보강</v>
          </cell>
          <cell r="C232" t="str">
            <v>T=400,L=9.0M</v>
          </cell>
          <cell r="D232">
            <v>108</v>
          </cell>
          <cell r="E232" t="str">
            <v>본</v>
          </cell>
        </row>
        <row r="233">
          <cell r="B233" t="str">
            <v>9)계 단 실</v>
          </cell>
        </row>
        <row r="234">
          <cell r="B234" t="str">
            <v>콘크리트펌프카타설</v>
          </cell>
          <cell r="C234" t="str">
            <v>무근</v>
          </cell>
          <cell r="D234">
            <v>16.05</v>
          </cell>
          <cell r="E234" t="str">
            <v>m3</v>
          </cell>
        </row>
        <row r="235">
          <cell r="B235" t="str">
            <v>콘크리트펌프카타설</v>
          </cell>
          <cell r="C235" t="str">
            <v>철근</v>
          </cell>
          <cell r="D235">
            <v>165.75</v>
          </cell>
          <cell r="E235" t="str">
            <v>m3</v>
          </cell>
        </row>
        <row r="236">
          <cell r="B236" t="str">
            <v>합판거푸집</v>
          </cell>
          <cell r="C236" t="str">
            <v>6회</v>
          </cell>
          <cell r="D236">
            <v>4.13</v>
          </cell>
          <cell r="E236" t="str">
            <v>m2</v>
          </cell>
        </row>
        <row r="237">
          <cell r="B237" t="str">
            <v>합판거푸집</v>
          </cell>
          <cell r="C237" t="str">
            <v>3회</v>
          </cell>
          <cell r="D237">
            <v>208</v>
          </cell>
          <cell r="E237" t="str">
            <v>m2</v>
          </cell>
        </row>
        <row r="238">
          <cell r="B238" t="str">
            <v>FORM-TIE</v>
          </cell>
          <cell r="C238" t="str">
            <v>3회 T=400</v>
          </cell>
          <cell r="D238">
            <v>425.65</v>
          </cell>
          <cell r="E238" t="str">
            <v>m2</v>
          </cell>
        </row>
        <row r="239">
          <cell r="B239" t="str">
            <v>강관동바리(3개월)</v>
          </cell>
          <cell r="C239" t="str">
            <v>4.2M이상</v>
          </cell>
          <cell r="D239">
            <v>146.69999999999999</v>
          </cell>
          <cell r="E239" t="str">
            <v>공/m3</v>
          </cell>
        </row>
        <row r="240">
          <cell r="B240" t="str">
            <v>강관동바리(3개월)</v>
          </cell>
          <cell r="C240" t="str">
            <v>4.2M이하</v>
          </cell>
          <cell r="D240">
            <v>93.22</v>
          </cell>
          <cell r="E240" t="str">
            <v>공/m3</v>
          </cell>
        </row>
        <row r="241">
          <cell r="B241" t="str">
            <v>강관비계매기</v>
          </cell>
          <cell r="C241" t="str">
            <v>3개월</v>
          </cell>
          <cell r="D241">
            <v>285.37</v>
          </cell>
          <cell r="E241" t="str">
            <v>m2</v>
          </cell>
        </row>
        <row r="242">
          <cell r="B242" t="str">
            <v>모체침투성방수</v>
          </cell>
          <cell r="D242">
            <v>61.9</v>
          </cell>
          <cell r="E242" t="str">
            <v>m2</v>
          </cell>
        </row>
        <row r="243">
          <cell r="B243" t="str">
            <v>아스팔트방수</v>
          </cell>
          <cell r="C243" t="str">
            <v>2회</v>
          </cell>
          <cell r="D243">
            <v>241.3</v>
          </cell>
          <cell r="E243" t="str">
            <v>m2</v>
          </cell>
        </row>
        <row r="244">
          <cell r="B244" t="str">
            <v>지수판설치</v>
          </cell>
          <cell r="C244" t="str">
            <v>B=230,T=5MM</v>
          </cell>
          <cell r="D244">
            <v>72.2</v>
          </cell>
          <cell r="E244" t="str">
            <v>m</v>
          </cell>
        </row>
        <row r="245">
          <cell r="B245" t="str">
            <v>양 생</v>
          </cell>
          <cell r="C245" t="str">
            <v>비닐</v>
          </cell>
          <cell r="D245">
            <v>79.33</v>
          </cell>
          <cell r="E245" t="str">
            <v>m2</v>
          </cell>
        </row>
        <row r="246">
          <cell r="B246" t="str">
            <v>시공이음면정리</v>
          </cell>
          <cell r="D246">
            <v>37.22</v>
          </cell>
          <cell r="E246" t="str">
            <v>m2</v>
          </cell>
        </row>
        <row r="247">
          <cell r="B247" t="str">
            <v>난간(STS)</v>
          </cell>
          <cell r="C247" t="str">
            <v>경사(0.9M)</v>
          </cell>
          <cell r="D247">
            <v>11.38</v>
          </cell>
          <cell r="E247" t="str">
            <v>스판</v>
          </cell>
        </row>
        <row r="248">
          <cell r="B248" t="str">
            <v>출입문설치</v>
          </cell>
          <cell r="C248" t="str">
            <v>900*2100</v>
          </cell>
          <cell r="D248">
            <v>1.89</v>
          </cell>
          <cell r="E248" t="str">
            <v>m2</v>
          </cell>
        </row>
        <row r="249">
          <cell r="B249" t="str">
            <v>FORM-TIE 구멍채우기</v>
          </cell>
          <cell r="D249">
            <v>456</v>
          </cell>
          <cell r="E249" t="str">
            <v>EA</v>
          </cell>
        </row>
        <row r="250">
          <cell r="B250" t="str">
            <v>슬리브</v>
          </cell>
          <cell r="C250" t="str">
            <v>D=400,T=400</v>
          </cell>
          <cell r="D250">
            <v>2</v>
          </cell>
          <cell r="E250" t="str">
            <v>EA</v>
          </cell>
        </row>
        <row r="251">
          <cell r="B251" t="str">
            <v>철근가공및조립</v>
          </cell>
          <cell r="C251" t="str">
            <v>복잡</v>
          </cell>
          <cell r="D251">
            <v>22.140999999999998</v>
          </cell>
          <cell r="E251" t="str">
            <v>TON</v>
          </cell>
        </row>
        <row r="252">
          <cell r="B252" t="str">
            <v>PC PILE항타</v>
          </cell>
          <cell r="C252" t="str">
            <v>천공후항타</v>
          </cell>
          <cell r="D252">
            <v>21</v>
          </cell>
          <cell r="E252" t="str">
            <v>본</v>
          </cell>
        </row>
        <row r="253">
          <cell r="B253" t="str">
            <v>말뚝박기용천공</v>
          </cell>
          <cell r="C253" t="str">
            <v>토사</v>
          </cell>
          <cell r="D253">
            <v>84</v>
          </cell>
          <cell r="E253" t="str">
            <v>m</v>
          </cell>
        </row>
        <row r="254">
          <cell r="B254" t="str">
            <v>PC 파일두부보강</v>
          </cell>
          <cell r="C254" t="str">
            <v>T=500,L=4.0M</v>
          </cell>
          <cell r="D254">
            <v>21</v>
          </cell>
          <cell r="E254" t="str">
            <v>본</v>
          </cell>
        </row>
        <row r="255">
          <cell r="B255" t="str">
            <v>10)최종침전지</v>
          </cell>
        </row>
        <row r="256">
          <cell r="B256" t="str">
            <v>콘크리트펌프카타설</v>
          </cell>
          <cell r="C256" t="str">
            <v>무근</v>
          </cell>
          <cell r="D256">
            <v>60.08</v>
          </cell>
          <cell r="E256" t="str">
            <v>m3</v>
          </cell>
        </row>
        <row r="257">
          <cell r="B257" t="str">
            <v>콘크리트펌프카타설</v>
          </cell>
          <cell r="C257" t="str">
            <v>철근</v>
          </cell>
          <cell r="D257">
            <v>297.12</v>
          </cell>
          <cell r="E257" t="str">
            <v>m3</v>
          </cell>
        </row>
        <row r="258">
          <cell r="B258" t="str">
            <v>합판거푸집</v>
          </cell>
          <cell r="C258" t="str">
            <v>6회</v>
          </cell>
          <cell r="D258">
            <v>82.12</v>
          </cell>
          <cell r="E258" t="str">
            <v>m2</v>
          </cell>
        </row>
        <row r="259">
          <cell r="B259" t="str">
            <v>합판거푸집</v>
          </cell>
          <cell r="C259" t="str">
            <v>3회</v>
          </cell>
          <cell r="D259">
            <v>32.619999999999997</v>
          </cell>
          <cell r="E259" t="str">
            <v>m2</v>
          </cell>
        </row>
        <row r="260">
          <cell r="B260" t="str">
            <v>원형거푸집</v>
          </cell>
          <cell r="C260" t="str">
            <v>3회</v>
          </cell>
          <cell r="D260">
            <v>857.96</v>
          </cell>
          <cell r="E260" t="str">
            <v>m2</v>
          </cell>
        </row>
        <row r="261">
          <cell r="B261" t="str">
            <v>강관동바리(3개월)</v>
          </cell>
          <cell r="C261" t="str">
            <v>4.2M이상</v>
          </cell>
          <cell r="D261">
            <v>149.69999999999999</v>
          </cell>
          <cell r="E261" t="str">
            <v>공/m3</v>
          </cell>
        </row>
        <row r="262">
          <cell r="B262" t="str">
            <v>강관비계매기</v>
          </cell>
          <cell r="C262" t="str">
            <v>3개월</v>
          </cell>
          <cell r="D262">
            <v>450.88</v>
          </cell>
          <cell r="E262" t="str">
            <v>m2</v>
          </cell>
        </row>
        <row r="263">
          <cell r="B263" t="str">
            <v>에폭시방수</v>
          </cell>
          <cell r="D263">
            <v>747.62</v>
          </cell>
          <cell r="E263" t="str">
            <v>m2</v>
          </cell>
        </row>
        <row r="264">
          <cell r="B264" t="str">
            <v>지수판설치</v>
          </cell>
          <cell r="C264" t="str">
            <v>B=230,T=5MM</v>
          </cell>
          <cell r="D264">
            <v>80.42</v>
          </cell>
          <cell r="E264" t="str">
            <v>m</v>
          </cell>
        </row>
        <row r="265">
          <cell r="B265" t="str">
            <v>양 생</v>
          </cell>
          <cell r="C265" t="str">
            <v>비닐</v>
          </cell>
          <cell r="D265">
            <v>110</v>
          </cell>
          <cell r="E265" t="str">
            <v>m2</v>
          </cell>
        </row>
        <row r="266">
          <cell r="B266" t="str">
            <v>시공이음면정리</v>
          </cell>
          <cell r="D266">
            <v>32.159999999999997</v>
          </cell>
          <cell r="E266" t="str">
            <v>m2</v>
          </cell>
        </row>
        <row r="267">
          <cell r="B267" t="str">
            <v>사다리설치</v>
          </cell>
          <cell r="C267" t="str">
            <v>A-TYPE</v>
          </cell>
          <cell r="D267">
            <v>14</v>
          </cell>
          <cell r="E267" t="str">
            <v>EA</v>
          </cell>
        </row>
        <row r="268">
          <cell r="B268" t="str">
            <v>철근가공및조립</v>
          </cell>
          <cell r="C268" t="str">
            <v>복잡</v>
          </cell>
          <cell r="D268">
            <v>35.357999999999997</v>
          </cell>
          <cell r="E268" t="str">
            <v>TON</v>
          </cell>
        </row>
        <row r="269">
          <cell r="B269" t="str">
            <v>V-NOTCH 웨어</v>
          </cell>
          <cell r="D269">
            <v>71</v>
          </cell>
          <cell r="E269" t="str">
            <v>m</v>
          </cell>
        </row>
        <row r="270">
          <cell r="B270" t="str">
            <v>슬리브</v>
          </cell>
          <cell r="C270" t="str">
            <v>D=250,T=200</v>
          </cell>
          <cell r="D270">
            <v>2</v>
          </cell>
          <cell r="E270" t="str">
            <v>EA</v>
          </cell>
        </row>
        <row r="271">
          <cell r="B271" t="str">
            <v>PC PILE항타</v>
          </cell>
          <cell r="C271" t="str">
            <v>천공후항타</v>
          </cell>
          <cell r="D271">
            <v>56</v>
          </cell>
          <cell r="E271" t="str">
            <v>본</v>
          </cell>
        </row>
        <row r="272">
          <cell r="B272" t="str">
            <v>말뚝박기용천공</v>
          </cell>
          <cell r="C272" t="str">
            <v>토사</v>
          </cell>
          <cell r="D272">
            <v>328</v>
          </cell>
          <cell r="E272" t="str">
            <v>m</v>
          </cell>
        </row>
        <row r="273">
          <cell r="B273" t="str">
            <v>PC 파일두부보강</v>
          </cell>
          <cell r="C273" t="str">
            <v>T=500,L=5.0M</v>
          </cell>
          <cell r="D273">
            <v>8</v>
          </cell>
          <cell r="E273" t="str">
            <v>본</v>
          </cell>
        </row>
        <row r="274">
          <cell r="A274">
            <v>21</v>
          </cell>
          <cell r="B274" t="str">
            <v>PC 파일두부보강</v>
          </cell>
          <cell r="C274" t="str">
            <v>T=500,L=6.0M</v>
          </cell>
          <cell r="D274">
            <v>48</v>
          </cell>
          <cell r="E274" t="str">
            <v>본</v>
          </cell>
        </row>
        <row r="275">
          <cell r="B275" t="str">
            <v>11)합류맨홀</v>
          </cell>
        </row>
        <row r="276">
          <cell r="B276" t="str">
            <v>레미콘타설</v>
          </cell>
          <cell r="C276" t="str">
            <v>무근구조물</v>
          </cell>
          <cell r="D276">
            <v>0.26</v>
          </cell>
          <cell r="E276" t="str">
            <v>m3</v>
          </cell>
        </row>
        <row r="277">
          <cell r="B277" t="str">
            <v>레미콘타설</v>
          </cell>
          <cell r="C277" t="str">
            <v>철근구조물</v>
          </cell>
          <cell r="D277">
            <v>2.86</v>
          </cell>
          <cell r="E277" t="str">
            <v>m3</v>
          </cell>
        </row>
        <row r="278">
          <cell r="B278" t="str">
            <v>잡석부설</v>
          </cell>
          <cell r="D278">
            <v>0.77</v>
          </cell>
          <cell r="E278" t="str">
            <v>m3</v>
          </cell>
        </row>
        <row r="279">
          <cell r="B279" t="str">
            <v>합판거푸집</v>
          </cell>
          <cell r="C279" t="str">
            <v>6회</v>
          </cell>
          <cell r="D279">
            <v>0.64</v>
          </cell>
          <cell r="E279" t="str">
            <v>m2</v>
          </cell>
        </row>
        <row r="280">
          <cell r="B280" t="str">
            <v>합판거푸집</v>
          </cell>
          <cell r="C280" t="str">
            <v>3회</v>
          </cell>
          <cell r="D280">
            <v>24.72</v>
          </cell>
          <cell r="E280" t="str">
            <v>m2</v>
          </cell>
        </row>
        <row r="281">
          <cell r="B281" t="str">
            <v>강관비계매기</v>
          </cell>
          <cell r="C281" t="str">
            <v>3개월</v>
          </cell>
          <cell r="D281">
            <v>28.08</v>
          </cell>
          <cell r="E281" t="str">
            <v>m2</v>
          </cell>
        </row>
        <row r="282">
          <cell r="B282" t="str">
            <v>사다리설치</v>
          </cell>
          <cell r="C282" t="str">
            <v>A-TYPE</v>
          </cell>
          <cell r="D282">
            <v>9</v>
          </cell>
          <cell r="E282" t="str">
            <v>EA</v>
          </cell>
        </row>
        <row r="283">
          <cell r="B283" t="str">
            <v>철근가공및조립</v>
          </cell>
          <cell r="C283" t="str">
            <v>보통</v>
          </cell>
          <cell r="D283">
            <v>0.26200000000000001</v>
          </cell>
          <cell r="E283" t="str">
            <v>TON</v>
          </cell>
        </row>
        <row r="284">
          <cell r="B284" t="str">
            <v>슬리브</v>
          </cell>
          <cell r="C284" t="str">
            <v>D=350,T=200</v>
          </cell>
          <cell r="D284">
            <v>1</v>
          </cell>
          <cell r="E284" t="str">
            <v>EA</v>
          </cell>
        </row>
        <row r="285">
          <cell r="B285" t="str">
            <v>슬리브</v>
          </cell>
          <cell r="C285" t="str">
            <v>D=250,T=200</v>
          </cell>
          <cell r="D285">
            <v>2</v>
          </cell>
          <cell r="E285" t="str">
            <v>EA</v>
          </cell>
        </row>
        <row r="286">
          <cell r="B286" t="str">
            <v>12)염소 접촉지</v>
          </cell>
        </row>
        <row r="287">
          <cell r="B287" t="str">
            <v>콘크리트펌프카타설</v>
          </cell>
          <cell r="C287" t="str">
            <v>무근</v>
          </cell>
          <cell r="D287">
            <v>1.49</v>
          </cell>
          <cell r="E287" t="str">
            <v>m3</v>
          </cell>
        </row>
        <row r="288">
          <cell r="B288" t="str">
            <v>콘크리트펌프카타설</v>
          </cell>
          <cell r="C288" t="str">
            <v>철근</v>
          </cell>
          <cell r="D288">
            <v>23.35</v>
          </cell>
          <cell r="E288" t="str">
            <v>m3</v>
          </cell>
        </row>
        <row r="289">
          <cell r="B289" t="str">
            <v>합판거푸집</v>
          </cell>
          <cell r="C289" t="str">
            <v>6회</v>
          </cell>
          <cell r="D289">
            <v>2.31</v>
          </cell>
          <cell r="E289" t="str">
            <v>m2</v>
          </cell>
        </row>
        <row r="290">
          <cell r="B290" t="str">
            <v>합판거푸집</v>
          </cell>
          <cell r="C290" t="str">
            <v>3회</v>
          </cell>
          <cell r="D290">
            <v>7.96</v>
          </cell>
          <cell r="E290" t="str">
            <v>m2</v>
          </cell>
        </row>
        <row r="291">
          <cell r="A291">
            <v>22</v>
          </cell>
          <cell r="B291" t="str">
            <v>FORM-TIE</v>
          </cell>
          <cell r="C291" t="str">
            <v>3회 T=300</v>
          </cell>
          <cell r="D291">
            <v>121.96</v>
          </cell>
          <cell r="E291" t="str">
            <v>m2</v>
          </cell>
        </row>
        <row r="292">
          <cell r="B292" t="str">
            <v>강관동바리(3개월)</v>
          </cell>
          <cell r="C292" t="str">
            <v>4.2M이하</v>
          </cell>
          <cell r="D292">
            <v>12.32</v>
          </cell>
          <cell r="E292" t="str">
            <v>공/m3</v>
          </cell>
        </row>
        <row r="293">
          <cell r="B293" t="str">
            <v>강관비계매기</v>
          </cell>
          <cell r="C293" t="str">
            <v>3개월</v>
          </cell>
          <cell r="D293">
            <v>148.91</v>
          </cell>
          <cell r="E293" t="str">
            <v>m2</v>
          </cell>
        </row>
        <row r="294">
          <cell r="B294" t="str">
            <v>에폭시방수</v>
          </cell>
          <cell r="D294">
            <v>54.16</v>
          </cell>
          <cell r="E294" t="str">
            <v>m2</v>
          </cell>
        </row>
        <row r="295">
          <cell r="B295" t="str">
            <v>지수판설치</v>
          </cell>
          <cell r="C295" t="str">
            <v>B=230,T=5MM</v>
          </cell>
          <cell r="D295">
            <v>16.7</v>
          </cell>
          <cell r="E295" t="str">
            <v>m</v>
          </cell>
        </row>
        <row r="296">
          <cell r="B296" t="str">
            <v>양 생</v>
          </cell>
          <cell r="C296" t="str">
            <v>비닐</v>
          </cell>
          <cell r="D296">
            <v>10.199999999999999</v>
          </cell>
          <cell r="E296" t="str">
            <v>m2</v>
          </cell>
        </row>
        <row r="297">
          <cell r="B297" t="str">
            <v>시공이음면정리</v>
          </cell>
          <cell r="D297">
            <v>5.01</v>
          </cell>
          <cell r="E297" t="str">
            <v>m2</v>
          </cell>
        </row>
        <row r="298">
          <cell r="B298" t="str">
            <v>FORM-TIE 구멍채우기</v>
          </cell>
          <cell r="D298">
            <v>114</v>
          </cell>
          <cell r="E298" t="str">
            <v>EA</v>
          </cell>
        </row>
        <row r="299">
          <cell r="B299" t="str">
            <v>사다리설치</v>
          </cell>
          <cell r="C299" t="str">
            <v>A-TYPE</v>
          </cell>
          <cell r="D299">
            <v>24</v>
          </cell>
          <cell r="E299" t="str">
            <v>EA</v>
          </cell>
        </row>
        <row r="300">
          <cell r="B300" t="str">
            <v>슬리브</v>
          </cell>
          <cell r="C300" t="str">
            <v>D=600,T=300</v>
          </cell>
          <cell r="D300">
            <v>3</v>
          </cell>
          <cell r="E300" t="str">
            <v>EA</v>
          </cell>
        </row>
        <row r="301">
          <cell r="B301" t="str">
            <v>슬리브</v>
          </cell>
          <cell r="C301" t="str">
            <v>D=400,T=300</v>
          </cell>
          <cell r="D301">
            <v>1</v>
          </cell>
          <cell r="E301" t="str">
            <v>EA</v>
          </cell>
        </row>
        <row r="302">
          <cell r="B302" t="str">
            <v>슬리브</v>
          </cell>
          <cell r="C302" t="str">
            <v>D=350,T=300</v>
          </cell>
          <cell r="D302">
            <v>1</v>
          </cell>
          <cell r="E302" t="str">
            <v>EA</v>
          </cell>
        </row>
        <row r="303">
          <cell r="B303" t="str">
            <v>철근가공및조립</v>
          </cell>
          <cell r="C303" t="str">
            <v>복잡</v>
          </cell>
          <cell r="D303">
            <v>3.5579999999999998</v>
          </cell>
          <cell r="E303" t="str">
            <v>TON</v>
          </cell>
        </row>
        <row r="304">
          <cell r="B304" t="str">
            <v>PVC PIPE T S 접합</v>
          </cell>
          <cell r="C304" t="str">
            <v>D=100M/M</v>
          </cell>
          <cell r="D304">
            <v>0.2</v>
          </cell>
          <cell r="E304" t="str">
            <v>m</v>
          </cell>
        </row>
        <row r="305">
          <cell r="B305" t="str">
            <v>PC PILE항타</v>
          </cell>
          <cell r="C305" t="str">
            <v>천공후항타</v>
          </cell>
          <cell r="D305">
            <v>7</v>
          </cell>
          <cell r="E305" t="str">
            <v>본</v>
          </cell>
        </row>
        <row r="306">
          <cell r="B306" t="str">
            <v>말뚝박기용천공</v>
          </cell>
          <cell r="C306" t="str">
            <v>토사</v>
          </cell>
          <cell r="D306">
            <v>53</v>
          </cell>
          <cell r="E306" t="str">
            <v>m</v>
          </cell>
        </row>
        <row r="307">
          <cell r="B307" t="str">
            <v>PC 파일두부보강</v>
          </cell>
          <cell r="C307" t="str">
            <v>T=400,L=7.0M</v>
          </cell>
          <cell r="D307">
            <v>3</v>
          </cell>
          <cell r="E307" t="str">
            <v>본</v>
          </cell>
        </row>
        <row r="308">
          <cell r="A308">
            <v>23</v>
          </cell>
          <cell r="B308" t="str">
            <v>PC 파일두부보강</v>
          </cell>
          <cell r="C308" t="str">
            <v>T=400,L=8.0M</v>
          </cell>
          <cell r="D308">
            <v>4</v>
          </cell>
          <cell r="E308" t="str">
            <v>본</v>
          </cell>
        </row>
        <row r="309">
          <cell r="B309" t="str">
            <v>13)농축조 분배조</v>
          </cell>
        </row>
        <row r="310">
          <cell r="B310" t="str">
            <v>콘크리트펌프카타설</v>
          </cell>
          <cell r="C310" t="str">
            <v>무근</v>
          </cell>
          <cell r="D310">
            <v>2.79</v>
          </cell>
          <cell r="E310" t="str">
            <v>m3</v>
          </cell>
        </row>
        <row r="311">
          <cell r="B311" t="str">
            <v>콘크리트펌프카타설</v>
          </cell>
          <cell r="C311" t="str">
            <v>철근</v>
          </cell>
          <cell r="D311">
            <v>49.69</v>
          </cell>
          <cell r="E311" t="str">
            <v>m3</v>
          </cell>
        </row>
        <row r="312">
          <cell r="B312" t="str">
            <v>합판거푸집</v>
          </cell>
          <cell r="C312" t="str">
            <v>6회</v>
          </cell>
          <cell r="D312">
            <v>1.76</v>
          </cell>
          <cell r="E312" t="str">
            <v>m2</v>
          </cell>
        </row>
        <row r="313">
          <cell r="B313" t="str">
            <v>합판거푸집</v>
          </cell>
          <cell r="C313" t="str">
            <v>3회</v>
          </cell>
          <cell r="D313">
            <v>66.08</v>
          </cell>
          <cell r="E313" t="str">
            <v>m2</v>
          </cell>
        </row>
        <row r="314">
          <cell r="B314" t="str">
            <v>FORM-TIE</v>
          </cell>
          <cell r="C314" t="str">
            <v>3회 T=300</v>
          </cell>
          <cell r="D314">
            <v>112.79</v>
          </cell>
          <cell r="E314" t="str">
            <v>m2</v>
          </cell>
        </row>
        <row r="315">
          <cell r="B315" t="str">
            <v>강관동바리(3개월)</v>
          </cell>
          <cell r="C315" t="str">
            <v>4.2M이하</v>
          </cell>
          <cell r="D315">
            <v>45.62</v>
          </cell>
          <cell r="E315" t="str">
            <v>공/m3</v>
          </cell>
        </row>
        <row r="316">
          <cell r="B316" t="str">
            <v>강관비계매기</v>
          </cell>
          <cell r="C316" t="str">
            <v>3개월</v>
          </cell>
          <cell r="D316">
            <v>152.80000000000001</v>
          </cell>
          <cell r="E316" t="str">
            <v>m2</v>
          </cell>
        </row>
        <row r="317">
          <cell r="B317" t="str">
            <v>아스팔트방수</v>
          </cell>
          <cell r="C317" t="str">
            <v>2회</v>
          </cell>
          <cell r="D317">
            <v>70.48</v>
          </cell>
          <cell r="E317" t="str">
            <v>m2</v>
          </cell>
        </row>
        <row r="318">
          <cell r="B318" t="str">
            <v>에폭시방수</v>
          </cell>
          <cell r="D318">
            <v>40.92</v>
          </cell>
          <cell r="E318" t="str">
            <v>m2</v>
          </cell>
        </row>
        <row r="319">
          <cell r="B319" t="str">
            <v>모체침투성방수</v>
          </cell>
          <cell r="D319">
            <v>10.8</v>
          </cell>
          <cell r="E319" t="str">
            <v>m2</v>
          </cell>
        </row>
        <row r="320">
          <cell r="B320" t="str">
            <v>지수판설치</v>
          </cell>
          <cell r="C320" t="str">
            <v>B=230,T=5MM</v>
          </cell>
          <cell r="D320">
            <v>22.6</v>
          </cell>
          <cell r="E320" t="str">
            <v>m</v>
          </cell>
        </row>
        <row r="321">
          <cell r="B321" t="str">
            <v>양 생</v>
          </cell>
          <cell r="C321" t="str">
            <v>비닐</v>
          </cell>
          <cell r="D321">
            <v>41.8</v>
          </cell>
          <cell r="E321" t="str">
            <v>m2</v>
          </cell>
        </row>
        <row r="322">
          <cell r="B322" t="str">
            <v>시공이음면정리</v>
          </cell>
          <cell r="D322">
            <v>9.7200000000000006</v>
          </cell>
          <cell r="E322" t="str">
            <v>m2</v>
          </cell>
        </row>
        <row r="323">
          <cell r="B323" t="str">
            <v>FORM-TIE 구멍채우기</v>
          </cell>
          <cell r="D323">
            <v>121</v>
          </cell>
          <cell r="E323" t="str">
            <v>EA</v>
          </cell>
        </row>
        <row r="324">
          <cell r="B324" t="str">
            <v>사다리설치</v>
          </cell>
          <cell r="C324" t="str">
            <v>A-TYPE</v>
          </cell>
          <cell r="D324">
            <v>23</v>
          </cell>
          <cell r="E324" t="str">
            <v>EA</v>
          </cell>
        </row>
        <row r="325">
          <cell r="A325">
            <v>24</v>
          </cell>
          <cell r="B325" t="str">
            <v>철근가공및조립</v>
          </cell>
          <cell r="C325" t="str">
            <v>복잡</v>
          </cell>
          <cell r="D325">
            <v>4.3360000000000003</v>
          </cell>
          <cell r="E325" t="str">
            <v>TON</v>
          </cell>
        </row>
        <row r="326">
          <cell r="B326" t="str">
            <v>슬리브</v>
          </cell>
          <cell r="C326" t="str">
            <v>D=200,T=400</v>
          </cell>
          <cell r="D326">
            <v>2</v>
          </cell>
          <cell r="E326" t="str">
            <v>EA</v>
          </cell>
        </row>
        <row r="327">
          <cell r="B327" t="str">
            <v>슬리브</v>
          </cell>
          <cell r="C327" t="str">
            <v>D=100,T=400</v>
          </cell>
          <cell r="D327">
            <v>2</v>
          </cell>
          <cell r="E327" t="str">
            <v>EA</v>
          </cell>
        </row>
        <row r="328">
          <cell r="B328" t="str">
            <v>PC PILE항타</v>
          </cell>
          <cell r="C328" t="str">
            <v>천공후항타</v>
          </cell>
          <cell r="D328">
            <v>6</v>
          </cell>
          <cell r="E328" t="str">
            <v>본</v>
          </cell>
        </row>
        <row r="329">
          <cell r="B329" t="str">
            <v>말뚝박기용천공</v>
          </cell>
          <cell r="C329" t="str">
            <v>토사</v>
          </cell>
          <cell r="D329">
            <v>24</v>
          </cell>
          <cell r="E329" t="str">
            <v>m</v>
          </cell>
        </row>
        <row r="330">
          <cell r="B330" t="str">
            <v>PC 파일두부보강</v>
          </cell>
          <cell r="C330" t="str">
            <v>T=400,L=7.0M</v>
          </cell>
          <cell r="D330">
            <v>6</v>
          </cell>
          <cell r="E330" t="str">
            <v>본</v>
          </cell>
        </row>
        <row r="331">
          <cell r="B331" t="str">
            <v>무늬철판뚜껑</v>
          </cell>
          <cell r="C331" t="str">
            <v>850*850</v>
          </cell>
          <cell r="D331">
            <v>1</v>
          </cell>
          <cell r="E331" t="str">
            <v>EA</v>
          </cell>
        </row>
        <row r="332">
          <cell r="B332" t="str">
            <v>무늬철판뚜껑</v>
          </cell>
          <cell r="C332" t="str">
            <v>650*1050</v>
          </cell>
          <cell r="D332">
            <v>2</v>
          </cell>
          <cell r="E332" t="str">
            <v>EA</v>
          </cell>
        </row>
        <row r="333">
          <cell r="B333" t="str">
            <v>14)농축조</v>
          </cell>
        </row>
        <row r="334">
          <cell r="B334" t="str">
            <v>콘크리트펌프카타설</v>
          </cell>
          <cell r="C334" t="str">
            <v>무근</v>
          </cell>
          <cell r="D334">
            <v>7.2</v>
          </cell>
          <cell r="E334" t="str">
            <v>m3</v>
          </cell>
        </row>
        <row r="335">
          <cell r="B335" t="str">
            <v>콘크리트펌프카타설</v>
          </cell>
          <cell r="C335" t="str">
            <v>철근</v>
          </cell>
          <cell r="D335">
            <v>46.8</v>
          </cell>
          <cell r="E335" t="str">
            <v>m3</v>
          </cell>
        </row>
        <row r="336">
          <cell r="B336" t="str">
            <v>합판거푸집</v>
          </cell>
          <cell r="C336" t="str">
            <v>6회</v>
          </cell>
          <cell r="D336">
            <v>1.22</v>
          </cell>
          <cell r="E336" t="str">
            <v>m2</v>
          </cell>
        </row>
        <row r="337">
          <cell r="B337" t="str">
            <v>합판거푸집</v>
          </cell>
          <cell r="C337" t="str">
            <v>3회</v>
          </cell>
          <cell r="D337">
            <v>27.32</v>
          </cell>
          <cell r="E337" t="str">
            <v>m2</v>
          </cell>
        </row>
        <row r="338">
          <cell r="B338" t="str">
            <v>원형거푸집</v>
          </cell>
          <cell r="C338" t="str">
            <v>3회</v>
          </cell>
          <cell r="D338">
            <v>857.96</v>
          </cell>
          <cell r="E338" t="str">
            <v>m2</v>
          </cell>
        </row>
        <row r="339">
          <cell r="B339" t="str">
            <v>강관동바리(3개월)</v>
          </cell>
          <cell r="C339" t="str">
            <v>4.2M이상</v>
          </cell>
          <cell r="D339">
            <v>15.68</v>
          </cell>
          <cell r="E339" t="str">
            <v>공/m3</v>
          </cell>
        </row>
        <row r="340">
          <cell r="B340" t="str">
            <v>강관비계매기</v>
          </cell>
          <cell r="C340" t="str">
            <v>3개월</v>
          </cell>
          <cell r="D340">
            <v>205.18</v>
          </cell>
          <cell r="E340" t="str">
            <v>m2</v>
          </cell>
        </row>
        <row r="341">
          <cell r="B341" t="str">
            <v>에폭시방수</v>
          </cell>
          <cell r="D341">
            <v>100.46</v>
          </cell>
          <cell r="E341" t="str">
            <v>m2</v>
          </cell>
        </row>
        <row r="342">
          <cell r="B342" t="str">
            <v>지수판설치</v>
          </cell>
          <cell r="C342" t="str">
            <v>B=230,T=5MM</v>
          </cell>
          <cell r="D342">
            <v>19.8</v>
          </cell>
          <cell r="E342" t="str">
            <v>m</v>
          </cell>
        </row>
        <row r="343">
          <cell r="B343" t="str">
            <v>양 생</v>
          </cell>
          <cell r="C343" t="str">
            <v>비닐</v>
          </cell>
          <cell r="D343">
            <v>19.239999999999998</v>
          </cell>
          <cell r="E343" t="str">
            <v>m2</v>
          </cell>
        </row>
        <row r="344">
          <cell r="B344" t="str">
            <v>시공이음면정리</v>
          </cell>
          <cell r="D344">
            <v>6.92</v>
          </cell>
          <cell r="E344" t="str">
            <v>m2</v>
          </cell>
        </row>
        <row r="345">
          <cell r="B345" t="str">
            <v>BAFFLE 웨어</v>
          </cell>
          <cell r="D345">
            <v>9.42</v>
          </cell>
          <cell r="E345" t="str">
            <v>m</v>
          </cell>
        </row>
        <row r="346">
          <cell r="B346" t="str">
            <v>PLATE 웨어</v>
          </cell>
          <cell r="D346">
            <v>12.56</v>
          </cell>
          <cell r="E346" t="str">
            <v>m</v>
          </cell>
        </row>
        <row r="347">
          <cell r="B347" t="str">
            <v>사다리설치</v>
          </cell>
          <cell r="C347" t="str">
            <v>A-TYPE</v>
          </cell>
          <cell r="D347">
            <v>12</v>
          </cell>
          <cell r="E347" t="str">
            <v>EA</v>
          </cell>
        </row>
        <row r="348">
          <cell r="B348" t="str">
            <v>슬리브</v>
          </cell>
          <cell r="C348" t="str">
            <v>D=100,T=350</v>
          </cell>
          <cell r="D348">
            <v>2</v>
          </cell>
          <cell r="E348" t="str">
            <v>EA</v>
          </cell>
        </row>
        <row r="349">
          <cell r="B349" t="str">
            <v>슬리브</v>
          </cell>
          <cell r="C349" t="str">
            <v>D=100,T=200</v>
          </cell>
          <cell r="D349">
            <v>2</v>
          </cell>
          <cell r="E349" t="str">
            <v>EA</v>
          </cell>
        </row>
        <row r="350">
          <cell r="B350" t="str">
            <v>슬리브</v>
          </cell>
          <cell r="C350" t="str">
            <v>D=200,T=350</v>
          </cell>
          <cell r="D350">
            <v>2</v>
          </cell>
          <cell r="E350" t="str">
            <v>EA</v>
          </cell>
        </row>
        <row r="351">
          <cell r="B351" t="str">
            <v>철근가공및조립</v>
          </cell>
          <cell r="C351" t="str">
            <v>복잡</v>
          </cell>
          <cell r="D351">
            <v>4.91</v>
          </cell>
          <cell r="E351" t="str">
            <v>TON</v>
          </cell>
        </row>
        <row r="352">
          <cell r="B352" t="str">
            <v>PC PILE항타</v>
          </cell>
          <cell r="C352" t="str">
            <v>천공후항타</v>
          </cell>
          <cell r="D352">
            <v>8</v>
          </cell>
          <cell r="E352" t="str">
            <v>본</v>
          </cell>
        </row>
        <row r="353">
          <cell r="B353" t="str">
            <v>말뚝박기용천공</v>
          </cell>
          <cell r="C353" t="str">
            <v>토사</v>
          </cell>
          <cell r="D353">
            <v>48</v>
          </cell>
          <cell r="E353" t="str">
            <v>m</v>
          </cell>
        </row>
        <row r="354">
          <cell r="B354" t="str">
            <v>PC 파일두부보강</v>
          </cell>
          <cell r="C354" t="str">
            <v>T=400,L=6.0M</v>
          </cell>
          <cell r="D354">
            <v>8</v>
          </cell>
          <cell r="E354" t="str">
            <v>본</v>
          </cell>
        </row>
        <row r="355">
          <cell r="B355" t="str">
            <v>15)공동구</v>
          </cell>
        </row>
        <row r="356">
          <cell r="B356" t="str">
            <v>레미콘타설</v>
          </cell>
          <cell r="C356" t="str">
            <v>무근구조물</v>
          </cell>
          <cell r="D356">
            <v>57.17</v>
          </cell>
          <cell r="E356" t="str">
            <v>m3</v>
          </cell>
        </row>
        <row r="357">
          <cell r="B357" t="str">
            <v>레미콘타설</v>
          </cell>
          <cell r="C357" t="str">
            <v>철근구조물</v>
          </cell>
          <cell r="D357">
            <v>545.04</v>
          </cell>
          <cell r="E357" t="str">
            <v>m3</v>
          </cell>
        </row>
        <row r="358">
          <cell r="B358" t="str">
            <v>합판거푸집</v>
          </cell>
          <cell r="C358" t="str">
            <v>6회</v>
          </cell>
          <cell r="D358">
            <v>18.89</v>
          </cell>
          <cell r="E358" t="str">
            <v>m2</v>
          </cell>
        </row>
        <row r="359">
          <cell r="A359">
            <v>26</v>
          </cell>
          <cell r="B359" t="str">
            <v>합판거푸집</v>
          </cell>
          <cell r="C359" t="str">
            <v>3회</v>
          </cell>
          <cell r="D359">
            <v>605.27</v>
          </cell>
          <cell r="E359" t="str">
            <v>m2</v>
          </cell>
        </row>
        <row r="360">
          <cell r="B360" t="str">
            <v>FORM-TIE</v>
          </cell>
          <cell r="C360" t="str">
            <v>3회 T=400</v>
          </cell>
          <cell r="D360">
            <v>1114.92</v>
          </cell>
          <cell r="E360" t="str">
            <v>m2</v>
          </cell>
        </row>
        <row r="361">
          <cell r="B361" t="str">
            <v>강관동바리(3개월)</v>
          </cell>
          <cell r="C361" t="str">
            <v>4.2M이하</v>
          </cell>
          <cell r="D361">
            <v>814.86</v>
          </cell>
          <cell r="E361" t="str">
            <v>공/m3</v>
          </cell>
        </row>
        <row r="362">
          <cell r="B362" t="str">
            <v>강관비계매기</v>
          </cell>
          <cell r="C362" t="str">
            <v>3개월</v>
          </cell>
          <cell r="D362">
            <v>766.56</v>
          </cell>
          <cell r="E362" t="str">
            <v>m2</v>
          </cell>
        </row>
        <row r="363">
          <cell r="B363" t="str">
            <v>모체침투성방수</v>
          </cell>
          <cell r="D363">
            <v>270.26</v>
          </cell>
          <cell r="E363" t="str">
            <v>m2</v>
          </cell>
        </row>
        <row r="364">
          <cell r="B364" t="str">
            <v>아스팔트방수</v>
          </cell>
          <cell r="C364" t="str">
            <v>2회</v>
          </cell>
          <cell r="D364">
            <v>1077.6500000000001</v>
          </cell>
          <cell r="E364" t="str">
            <v>m2</v>
          </cell>
        </row>
        <row r="365">
          <cell r="B365" t="str">
            <v>지수판설치</v>
          </cell>
          <cell r="C365" t="str">
            <v>B=230,T=5MM</v>
          </cell>
          <cell r="D365">
            <v>309.88</v>
          </cell>
          <cell r="E365" t="str">
            <v>m</v>
          </cell>
        </row>
        <row r="366">
          <cell r="B366" t="str">
            <v>양 생</v>
          </cell>
          <cell r="C366" t="str">
            <v>비닐</v>
          </cell>
          <cell r="D366">
            <v>676.58</v>
          </cell>
          <cell r="E366" t="str">
            <v>m2</v>
          </cell>
        </row>
        <row r="367">
          <cell r="B367" t="str">
            <v>시공이음면정리</v>
          </cell>
          <cell r="D367">
            <v>74.95</v>
          </cell>
          <cell r="E367" t="str">
            <v>m2</v>
          </cell>
        </row>
        <row r="368">
          <cell r="B368" t="str">
            <v>FORM-TIE 구멍채우기</v>
          </cell>
          <cell r="D368">
            <v>1042</v>
          </cell>
          <cell r="E368" t="str">
            <v>EA</v>
          </cell>
        </row>
        <row r="369">
          <cell r="B369" t="str">
            <v>철근가공및조립</v>
          </cell>
          <cell r="C369" t="str">
            <v>복잡</v>
          </cell>
          <cell r="D369">
            <v>50.087000000000003</v>
          </cell>
          <cell r="E369" t="str">
            <v>TON</v>
          </cell>
        </row>
        <row r="370">
          <cell r="B370" t="str">
            <v>슬리브</v>
          </cell>
          <cell r="C370" t="str">
            <v>D=100,T=400</v>
          </cell>
          <cell r="D370">
            <v>2</v>
          </cell>
          <cell r="E370" t="str">
            <v>EA</v>
          </cell>
        </row>
        <row r="371">
          <cell r="B371" t="str">
            <v>JOINT-FILLER</v>
          </cell>
          <cell r="C371" t="str">
            <v>T=20M/M</v>
          </cell>
          <cell r="D371">
            <v>51.5</v>
          </cell>
          <cell r="E371" t="str">
            <v>m2</v>
          </cell>
        </row>
        <row r="372">
          <cell r="B372" t="str">
            <v>실런트</v>
          </cell>
          <cell r="C372" t="str">
            <v>T=20M/M</v>
          </cell>
          <cell r="D372">
            <v>264.60000000000002</v>
          </cell>
          <cell r="E372" t="str">
            <v>m</v>
          </cell>
        </row>
        <row r="373">
          <cell r="B373" t="str">
            <v>PC PILE항타</v>
          </cell>
          <cell r="C373" t="str">
            <v>천공후항타</v>
          </cell>
          <cell r="D373">
            <v>81</v>
          </cell>
          <cell r="E373" t="str">
            <v>본</v>
          </cell>
        </row>
        <row r="374">
          <cell r="B374" t="str">
            <v>말뚝박기용천공</v>
          </cell>
          <cell r="C374" t="str">
            <v>토사</v>
          </cell>
          <cell r="D374">
            <v>397</v>
          </cell>
          <cell r="E374" t="str">
            <v>m</v>
          </cell>
        </row>
        <row r="375">
          <cell r="B375" t="str">
            <v>PC 파일두부보강</v>
          </cell>
          <cell r="C375" t="str">
            <v>T=500,L=4.0M</v>
          </cell>
          <cell r="D375">
            <v>8</v>
          </cell>
          <cell r="E375" t="str">
            <v>본</v>
          </cell>
        </row>
        <row r="376">
          <cell r="A376">
            <v>27</v>
          </cell>
          <cell r="B376" t="str">
            <v>PC 파일두부보강</v>
          </cell>
          <cell r="C376" t="str">
            <v>T=500,L=5.0M</v>
          </cell>
          <cell r="D376">
            <v>73</v>
          </cell>
          <cell r="E376" t="str">
            <v>본</v>
          </cell>
        </row>
        <row r="377">
          <cell r="B377" t="str">
            <v>16)구내배관</v>
          </cell>
        </row>
        <row r="378">
          <cell r="B378" t="str">
            <v>레미콘타설</v>
          </cell>
          <cell r="C378" t="str">
            <v>무근구조물</v>
          </cell>
          <cell r="D378">
            <v>47.22</v>
          </cell>
          <cell r="E378" t="str">
            <v>m3</v>
          </cell>
        </row>
        <row r="379">
          <cell r="B379" t="str">
            <v>합판거푸집</v>
          </cell>
          <cell r="C379" t="str">
            <v>6회</v>
          </cell>
          <cell r="D379">
            <v>210.37</v>
          </cell>
          <cell r="E379" t="str">
            <v>m2</v>
          </cell>
        </row>
        <row r="380">
          <cell r="B380" t="str">
            <v>잡석부설</v>
          </cell>
          <cell r="D380">
            <v>9.2200000000000006</v>
          </cell>
          <cell r="E380" t="str">
            <v>m3</v>
          </cell>
        </row>
        <row r="381">
          <cell r="B381" t="str">
            <v>K-P 메카니칼 접합</v>
          </cell>
          <cell r="C381" t="str">
            <v>D=100mm(인력)</v>
          </cell>
          <cell r="D381">
            <v>9.6</v>
          </cell>
          <cell r="E381" t="str">
            <v>개소</v>
          </cell>
        </row>
        <row r="382">
          <cell r="B382" t="str">
            <v>K-P 메카니칼 접합</v>
          </cell>
          <cell r="C382" t="str">
            <v>D=150mm(인력)</v>
          </cell>
          <cell r="D382">
            <v>8.1999999999999993</v>
          </cell>
          <cell r="E382" t="str">
            <v>개소</v>
          </cell>
        </row>
        <row r="383">
          <cell r="B383" t="str">
            <v>K-P 메카니칼 접합</v>
          </cell>
          <cell r="C383" t="str">
            <v>D=200mm(기계)</v>
          </cell>
          <cell r="D383">
            <v>2.2999999999999998</v>
          </cell>
          <cell r="E383" t="str">
            <v>개소</v>
          </cell>
        </row>
        <row r="384">
          <cell r="B384" t="str">
            <v>K-P 메카니칼 접합</v>
          </cell>
          <cell r="C384" t="str">
            <v>D=250mm(기계)</v>
          </cell>
          <cell r="D384">
            <v>12.8</v>
          </cell>
          <cell r="E384" t="str">
            <v>개소</v>
          </cell>
        </row>
        <row r="385">
          <cell r="B385" t="str">
            <v>K-P 메카니칼 접합</v>
          </cell>
          <cell r="C385" t="str">
            <v>D=300mm(기계)</v>
          </cell>
          <cell r="D385">
            <v>5.7</v>
          </cell>
          <cell r="E385" t="str">
            <v>개소</v>
          </cell>
        </row>
        <row r="386">
          <cell r="B386" t="str">
            <v>K-P 메카니칼 접합</v>
          </cell>
          <cell r="C386" t="str">
            <v>D=350mm(기계)</v>
          </cell>
          <cell r="D386">
            <v>6.3</v>
          </cell>
          <cell r="E386" t="str">
            <v>개소</v>
          </cell>
        </row>
        <row r="387">
          <cell r="B387" t="str">
            <v>K-P 메카니칼 접합</v>
          </cell>
          <cell r="C387" t="str">
            <v>D=400mm(기계)</v>
          </cell>
          <cell r="D387">
            <v>24</v>
          </cell>
          <cell r="E387" t="str">
            <v>개소</v>
          </cell>
        </row>
        <row r="388">
          <cell r="B388" t="str">
            <v>K-P 메카니칼 접합</v>
          </cell>
          <cell r="C388" t="str">
            <v>D=500mm(기계)</v>
          </cell>
          <cell r="D388">
            <v>5.8</v>
          </cell>
          <cell r="E388" t="str">
            <v>개소</v>
          </cell>
        </row>
        <row r="389">
          <cell r="B389" t="str">
            <v>K-P 메카니칼 접합</v>
          </cell>
          <cell r="C389" t="str">
            <v>D=600mm(기계)</v>
          </cell>
          <cell r="D389">
            <v>7.7</v>
          </cell>
          <cell r="E389" t="str">
            <v>개소</v>
          </cell>
        </row>
        <row r="390">
          <cell r="B390" t="str">
            <v>3.부대공</v>
          </cell>
        </row>
        <row r="391">
          <cell r="B391" t="str">
            <v>1)우수공</v>
          </cell>
        </row>
        <row r="392">
          <cell r="B392" t="str">
            <v>레미콘타설</v>
          </cell>
          <cell r="C392" t="str">
            <v>무근구조물</v>
          </cell>
          <cell r="D392">
            <v>71.13</v>
          </cell>
          <cell r="E392" t="str">
            <v>m3</v>
          </cell>
        </row>
        <row r="393">
          <cell r="A393">
            <v>28</v>
          </cell>
          <cell r="B393" t="str">
            <v>레미콘타설</v>
          </cell>
          <cell r="C393" t="str">
            <v>철근구조물</v>
          </cell>
          <cell r="D393">
            <v>20.853000000000002</v>
          </cell>
          <cell r="E393" t="str">
            <v>m3</v>
          </cell>
        </row>
        <row r="394">
          <cell r="B394" t="str">
            <v>합판거푸집</v>
          </cell>
          <cell r="C394" t="str">
            <v>6회</v>
          </cell>
          <cell r="D394">
            <v>9.5990000000000002</v>
          </cell>
          <cell r="E394" t="str">
            <v>m2</v>
          </cell>
        </row>
        <row r="395">
          <cell r="B395" t="str">
            <v>합판거푸집</v>
          </cell>
          <cell r="C395" t="str">
            <v>4회</v>
          </cell>
          <cell r="D395">
            <v>323.93900000000002</v>
          </cell>
          <cell r="E395" t="str">
            <v>m2</v>
          </cell>
        </row>
        <row r="396">
          <cell r="B396" t="str">
            <v>합판거푸집</v>
          </cell>
          <cell r="C396" t="str">
            <v>3회</v>
          </cell>
          <cell r="D396">
            <v>45.82</v>
          </cell>
          <cell r="E396" t="str">
            <v>m2</v>
          </cell>
        </row>
        <row r="397">
          <cell r="B397" t="str">
            <v>P.E원형맨홀거푸집</v>
          </cell>
          <cell r="C397" t="str">
            <v>D=900,H=1.74M</v>
          </cell>
          <cell r="D397">
            <v>21</v>
          </cell>
          <cell r="E397" t="str">
            <v>개소</v>
          </cell>
        </row>
        <row r="398">
          <cell r="B398" t="str">
            <v>P.E원형맨홀거푸집</v>
          </cell>
          <cell r="C398" t="str">
            <v>D=1200,H=3.69M</v>
          </cell>
          <cell r="D398">
            <v>1</v>
          </cell>
          <cell r="E398" t="str">
            <v>개소</v>
          </cell>
        </row>
        <row r="399">
          <cell r="B399" t="str">
            <v>흄관접합부설(인력)</v>
          </cell>
          <cell r="C399" t="str">
            <v>D=250M/M</v>
          </cell>
          <cell r="D399">
            <v>150</v>
          </cell>
          <cell r="E399" t="str">
            <v>m</v>
          </cell>
        </row>
        <row r="400">
          <cell r="B400" t="str">
            <v>흄관접합부설(인력)</v>
          </cell>
          <cell r="C400" t="str">
            <v>D=300M/M</v>
          </cell>
          <cell r="D400">
            <v>150</v>
          </cell>
          <cell r="E400" t="str">
            <v>m</v>
          </cell>
        </row>
        <row r="401">
          <cell r="B401" t="str">
            <v>흄관접합부설(인력)</v>
          </cell>
          <cell r="C401" t="str">
            <v>D=450M/M</v>
          </cell>
          <cell r="D401">
            <v>556.5</v>
          </cell>
          <cell r="E401" t="str">
            <v>m</v>
          </cell>
        </row>
        <row r="402">
          <cell r="B402" t="str">
            <v>흄관접합부설(인력)</v>
          </cell>
          <cell r="C402" t="str">
            <v>D=600M/M</v>
          </cell>
          <cell r="D402">
            <v>92.5</v>
          </cell>
          <cell r="E402" t="str">
            <v>m</v>
          </cell>
        </row>
        <row r="403">
          <cell r="B403" t="str">
            <v>PVC PIPE T S 접합</v>
          </cell>
          <cell r="C403" t="str">
            <v>D=150mm</v>
          </cell>
          <cell r="D403">
            <v>71</v>
          </cell>
          <cell r="E403" t="str">
            <v>m</v>
          </cell>
        </row>
        <row r="404">
          <cell r="B404" t="str">
            <v>철근가공및조립</v>
          </cell>
          <cell r="C404" t="str">
            <v>보통</v>
          </cell>
          <cell r="D404">
            <v>2.613</v>
          </cell>
          <cell r="E404" t="str">
            <v>TON</v>
          </cell>
        </row>
        <row r="405">
          <cell r="B405" t="str">
            <v>철근가공및조립</v>
          </cell>
          <cell r="C405" t="str">
            <v>복잡</v>
          </cell>
          <cell r="D405">
            <v>1.31</v>
          </cell>
          <cell r="E405" t="str">
            <v>TON</v>
          </cell>
        </row>
        <row r="406">
          <cell r="B406" t="str">
            <v>맨홀사다리설치</v>
          </cell>
          <cell r="C406" t="str">
            <v>D=19M/M</v>
          </cell>
          <cell r="D406">
            <v>138</v>
          </cell>
          <cell r="E406" t="str">
            <v>EA</v>
          </cell>
        </row>
        <row r="407">
          <cell r="B407" t="str">
            <v>맨홀뚜껑설치</v>
          </cell>
          <cell r="C407" t="str">
            <v>D=648M/M</v>
          </cell>
          <cell r="D407">
            <v>22</v>
          </cell>
          <cell r="E407" t="str">
            <v>EA</v>
          </cell>
        </row>
        <row r="408">
          <cell r="B408" t="str">
            <v>잡석부설</v>
          </cell>
          <cell r="D408">
            <v>14.478</v>
          </cell>
          <cell r="E408" t="str">
            <v>m3</v>
          </cell>
        </row>
        <row r="409">
          <cell r="B409" t="str">
            <v>PE차단식홈통받이</v>
          </cell>
          <cell r="D409">
            <v>7</v>
          </cell>
          <cell r="E409" t="str">
            <v>EA</v>
          </cell>
        </row>
        <row r="410">
          <cell r="A410">
            <v>29</v>
          </cell>
          <cell r="B410" t="str">
            <v>시공이음면정리</v>
          </cell>
          <cell r="D410">
            <v>74.95</v>
          </cell>
          <cell r="E410" t="str">
            <v>m2</v>
          </cell>
        </row>
        <row r="411">
          <cell r="B411" t="str">
            <v>양생</v>
          </cell>
          <cell r="C411" t="str">
            <v>비닐</v>
          </cell>
          <cell r="D411">
            <v>25.9</v>
          </cell>
          <cell r="E411" t="str">
            <v>m2</v>
          </cell>
        </row>
        <row r="412">
          <cell r="B412" t="str">
            <v>2)오수공</v>
          </cell>
        </row>
        <row r="413">
          <cell r="B413" t="str">
            <v>레미콘타설</v>
          </cell>
          <cell r="C413" t="str">
            <v>무근구조물</v>
          </cell>
          <cell r="D413">
            <v>39.789000000000001</v>
          </cell>
          <cell r="E413" t="str">
            <v>m3</v>
          </cell>
        </row>
        <row r="414">
          <cell r="B414" t="str">
            <v>레미콘타설</v>
          </cell>
          <cell r="C414" t="str">
            <v>철근구조물</v>
          </cell>
          <cell r="D414">
            <v>2.512</v>
          </cell>
          <cell r="E414" t="str">
            <v>m3</v>
          </cell>
        </row>
        <row r="415">
          <cell r="B415" t="str">
            <v>합판거푸집</v>
          </cell>
          <cell r="C415" t="str">
            <v>6회</v>
          </cell>
          <cell r="D415">
            <v>1.7729999999999999</v>
          </cell>
          <cell r="E415" t="str">
            <v>m2</v>
          </cell>
        </row>
        <row r="416">
          <cell r="B416" t="str">
            <v>합판거푸집</v>
          </cell>
          <cell r="C416" t="str">
            <v>4회</v>
          </cell>
          <cell r="D416">
            <v>95.813999999999993</v>
          </cell>
          <cell r="E416" t="str">
            <v>m2</v>
          </cell>
        </row>
        <row r="417">
          <cell r="B417" t="str">
            <v>PE원형맨홀거푸집</v>
          </cell>
          <cell r="C417" t="str">
            <v>D=900,H=2.6M</v>
          </cell>
          <cell r="D417">
            <v>16</v>
          </cell>
          <cell r="E417" t="str">
            <v>m2</v>
          </cell>
        </row>
        <row r="418">
          <cell r="B418" t="str">
            <v>PE관접합부설(융착)</v>
          </cell>
          <cell r="C418" t="str">
            <v>D=100M/M</v>
          </cell>
          <cell r="D418">
            <v>25</v>
          </cell>
          <cell r="E418" t="str">
            <v>m</v>
          </cell>
        </row>
        <row r="419">
          <cell r="B419" t="str">
            <v>PE관접합부설(융착)</v>
          </cell>
          <cell r="C419" t="str">
            <v>D=200M/M</v>
          </cell>
          <cell r="D419">
            <v>174</v>
          </cell>
          <cell r="E419" t="str">
            <v>m</v>
          </cell>
        </row>
        <row r="420">
          <cell r="B420" t="str">
            <v>PE관접합부설(융착)</v>
          </cell>
          <cell r="C420" t="str">
            <v>D=250M/M</v>
          </cell>
          <cell r="D420">
            <v>265</v>
          </cell>
          <cell r="E420" t="str">
            <v>m</v>
          </cell>
        </row>
        <row r="421">
          <cell r="B421" t="str">
            <v>철근가공및조립</v>
          </cell>
          <cell r="C421" t="str">
            <v>보통</v>
          </cell>
          <cell r="D421">
            <v>0.57899999999999996</v>
          </cell>
          <cell r="E421" t="str">
            <v>TON</v>
          </cell>
        </row>
        <row r="422">
          <cell r="B422" t="str">
            <v>맨홀사다리설치</v>
          </cell>
          <cell r="C422" t="str">
            <v>D=19M/M</v>
          </cell>
          <cell r="D422">
            <v>112</v>
          </cell>
          <cell r="E422" t="str">
            <v>EA</v>
          </cell>
        </row>
        <row r="423">
          <cell r="B423" t="str">
            <v>맨홀뚜껑설치</v>
          </cell>
          <cell r="C423" t="str">
            <v>D=648M/M</v>
          </cell>
          <cell r="D423">
            <v>16</v>
          </cell>
          <cell r="E423" t="str">
            <v>EA</v>
          </cell>
        </row>
        <row r="424">
          <cell r="B424" t="str">
            <v>잡석부설</v>
          </cell>
          <cell r="D424">
            <v>8.1440000000000001</v>
          </cell>
          <cell r="E424" t="str">
            <v>m3</v>
          </cell>
        </row>
        <row r="425">
          <cell r="B425" t="str">
            <v>3)상수도공</v>
          </cell>
        </row>
        <row r="426">
          <cell r="B426" t="str">
            <v>레미콘타설</v>
          </cell>
          <cell r="C426" t="str">
            <v>철근구조물</v>
          </cell>
          <cell r="D426">
            <v>2.5</v>
          </cell>
          <cell r="E426" t="str">
            <v>m3</v>
          </cell>
        </row>
        <row r="427">
          <cell r="B427" t="str">
            <v>레미콘타설</v>
          </cell>
          <cell r="C427" t="str">
            <v>무근구조물</v>
          </cell>
          <cell r="D427">
            <v>0.35</v>
          </cell>
          <cell r="E427" t="str">
            <v>m3</v>
          </cell>
        </row>
        <row r="428">
          <cell r="B428" t="str">
            <v>합판거푸집</v>
          </cell>
          <cell r="C428" t="str">
            <v>6회</v>
          </cell>
          <cell r="D428">
            <v>0.76</v>
          </cell>
          <cell r="E428" t="str">
            <v>m2</v>
          </cell>
        </row>
        <row r="429">
          <cell r="B429" t="str">
            <v>합판거푸집</v>
          </cell>
          <cell r="C429" t="str">
            <v>3회</v>
          </cell>
          <cell r="D429">
            <v>27.6</v>
          </cell>
          <cell r="E429" t="str">
            <v>m2</v>
          </cell>
        </row>
        <row r="430">
          <cell r="B430" t="str">
            <v>시공이음면정리</v>
          </cell>
          <cell r="D430">
            <v>0.83</v>
          </cell>
          <cell r="E430" t="str">
            <v>m2</v>
          </cell>
        </row>
        <row r="431">
          <cell r="B431" t="str">
            <v>철근가공및조립</v>
          </cell>
          <cell r="C431" t="str">
            <v>보통</v>
          </cell>
          <cell r="D431">
            <v>0.20899999999999999</v>
          </cell>
          <cell r="E431" t="str">
            <v>TON</v>
          </cell>
        </row>
        <row r="432">
          <cell r="B432" t="str">
            <v>양생</v>
          </cell>
          <cell r="C432" t="str">
            <v>비닐</v>
          </cell>
          <cell r="D432">
            <v>2.73</v>
          </cell>
          <cell r="E432" t="str">
            <v>m2</v>
          </cell>
        </row>
        <row r="433">
          <cell r="B433" t="str">
            <v>강관동바리(3개월)</v>
          </cell>
          <cell r="C433" t="str">
            <v>4.2M이하</v>
          </cell>
          <cell r="D433">
            <v>1.44</v>
          </cell>
          <cell r="E433" t="str">
            <v>공/m3</v>
          </cell>
        </row>
        <row r="434">
          <cell r="B434" t="str">
            <v>무늬철판뚜껑</v>
          </cell>
          <cell r="C434" t="str">
            <v>850*850</v>
          </cell>
          <cell r="D434">
            <v>1</v>
          </cell>
          <cell r="E434" t="str">
            <v>EA</v>
          </cell>
        </row>
        <row r="435">
          <cell r="B435" t="str">
            <v>지수판설치</v>
          </cell>
          <cell r="C435" t="str">
            <v>B=230,T=5MM</v>
          </cell>
          <cell r="D435">
            <v>6.2</v>
          </cell>
          <cell r="E435" t="str">
            <v>m</v>
          </cell>
        </row>
        <row r="436">
          <cell r="B436" t="str">
            <v>PE관접합부설(융착)</v>
          </cell>
          <cell r="C436" t="str">
            <v>D=16M/M</v>
          </cell>
          <cell r="D436">
            <v>18</v>
          </cell>
          <cell r="E436" t="str">
            <v>m</v>
          </cell>
        </row>
        <row r="437">
          <cell r="B437" t="str">
            <v>PE관접합부설(융착)</v>
          </cell>
          <cell r="C437" t="str">
            <v>D=25M/M</v>
          </cell>
          <cell r="D437">
            <v>123</v>
          </cell>
          <cell r="E437" t="str">
            <v>m</v>
          </cell>
        </row>
        <row r="438">
          <cell r="B438" t="str">
            <v>PE관접합부설(융착)</v>
          </cell>
          <cell r="C438" t="str">
            <v>D=40M/M</v>
          </cell>
          <cell r="D438">
            <v>76</v>
          </cell>
          <cell r="E438" t="str">
            <v>m</v>
          </cell>
        </row>
        <row r="439">
          <cell r="B439" t="str">
            <v>PE관접합부설(융착)</v>
          </cell>
          <cell r="C439" t="str">
            <v>D=50M/M</v>
          </cell>
          <cell r="D439">
            <v>77</v>
          </cell>
          <cell r="E439" t="str">
            <v>m</v>
          </cell>
        </row>
        <row r="440">
          <cell r="B440" t="str">
            <v>심정개발비</v>
          </cell>
          <cell r="D440">
            <v>1</v>
          </cell>
          <cell r="E440" t="str">
            <v>식</v>
          </cell>
        </row>
        <row r="441">
          <cell r="B441" t="str">
            <v>4)포 장 공</v>
          </cell>
        </row>
        <row r="442">
          <cell r="B442" t="str">
            <v>레미콘타설</v>
          </cell>
          <cell r="C442" t="str">
            <v>무근구조물</v>
          </cell>
          <cell r="D442">
            <v>104.76</v>
          </cell>
          <cell r="E442" t="str">
            <v>m3</v>
          </cell>
        </row>
        <row r="443">
          <cell r="B443" t="str">
            <v>합판거푸집</v>
          </cell>
          <cell r="C443" t="str">
            <v>6회</v>
          </cell>
          <cell r="D443">
            <v>251.94</v>
          </cell>
          <cell r="E443" t="str">
            <v>m2</v>
          </cell>
        </row>
        <row r="444">
          <cell r="B444" t="str">
            <v>표층(포설및다짐)</v>
          </cell>
          <cell r="C444" t="str">
            <v>T=5cm</v>
          </cell>
          <cell r="D444">
            <v>6028.74</v>
          </cell>
          <cell r="E444" t="str">
            <v>m2</v>
          </cell>
        </row>
        <row r="445">
          <cell r="B445" t="str">
            <v>기층(포설및다짐)</v>
          </cell>
          <cell r="C445" t="str">
            <v>T=10cm</v>
          </cell>
          <cell r="D445">
            <v>6028.74</v>
          </cell>
          <cell r="E445" t="str">
            <v>m2</v>
          </cell>
        </row>
        <row r="446">
          <cell r="B446" t="str">
            <v>택코팅</v>
          </cell>
          <cell r="C446" t="str">
            <v>RSC-4: 30 L/a</v>
          </cell>
          <cell r="D446">
            <v>60.28</v>
          </cell>
          <cell r="E446" t="str">
            <v>a</v>
          </cell>
        </row>
        <row r="447">
          <cell r="B447" t="str">
            <v>프라임코팅</v>
          </cell>
          <cell r="C447" t="str">
            <v>80 L/a당</v>
          </cell>
          <cell r="D447">
            <v>0.161</v>
          </cell>
          <cell r="E447" t="str">
            <v>a</v>
          </cell>
        </row>
        <row r="448">
          <cell r="B448" t="str">
            <v>보조기층포설및다짐</v>
          </cell>
          <cell r="D448">
            <v>777</v>
          </cell>
          <cell r="E448" t="str">
            <v>m3</v>
          </cell>
        </row>
        <row r="449">
          <cell r="B449" t="str">
            <v>몰탈</v>
          </cell>
          <cell r="C449" t="str">
            <v>1:3</v>
          </cell>
          <cell r="D449">
            <v>0.161</v>
          </cell>
          <cell r="E449" t="str">
            <v>m3</v>
          </cell>
        </row>
        <row r="450">
          <cell r="B450" t="str">
            <v>보도경계블럭설치</v>
          </cell>
          <cell r="C450" t="str">
            <v>180*205*250</v>
          </cell>
          <cell r="D450">
            <v>777</v>
          </cell>
          <cell r="E450" t="str">
            <v>m</v>
          </cell>
        </row>
        <row r="451">
          <cell r="B451" t="str">
            <v>도로경계블럭설치</v>
          </cell>
          <cell r="C451" t="str">
            <v>120*120</v>
          </cell>
          <cell r="D451">
            <v>16.5</v>
          </cell>
          <cell r="E451" t="str">
            <v>m</v>
          </cell>
        </row>
        <row r="452">
          <cell r="B452" t="str">
            <v>ILP고압블럭설치</v>
          </cell>
          <cell r="C452" t="str">
            <v>T=6cm</v>
          </cell>
          <cell r="D452">
            <v>19.84</v>
          </cell>
          <cell r="E452" t="str">
            <v>m2</v>
          </cell>
        </row>
        <row r="453">
          <cell r="B453" t="str">
            <v>차선도색</v>
          </cell>
          <cell r="C453" t="str">
            <v>로타리식기계</v>
          </cell>
          <cell r="D453">
            <v>7.6580000000000004</v>
          </cell>
          <cell r="E453" t="str">
            <v>m2</v>
          </cell>
        </row>
        <row r="454">
          <cell r="B454" t="str">
            <v>5)외부계단</v>
          </cell>
        </row>
        <row r="455">
          <cell r="B455" t="str">
            <v>레미콘타설</v>
          </cell>
          <cell r="C455" t="str">
            <v>철근구조물</v>
          </cell>
          <cell r="D455">
            <v>3.97</v>
          </cell>
          <cell r="E455" t="str">
            <v>m3</v>
          </cell>
        </row>
        <row r="456">
          <cell r="B456" t="str">
            <v>레미콘타설</v>
          </cell>
          <cell r="C456" t="str">
            <v>무근구조물</v>
          </cell>
          <cell r="D456">
            <v>0.1</v>
          </cell>
          <cell r="E456" t="str">
            <v>m3</v>
          </cell>
        </row>
        <row r="457">
          <cell r="B457" t="str">
            <v>합판거푸집</v>
          </cell>
          <cell r="C457" t="str">
            <v>6회</v>
          </cell>
          <cell r="D457">
            <v>0.74</v>
          </cell>
          <cell r="E457" t="str">
            <v>m2</v>
          </cell>
        </row>
        <row r="458">
          <cell r="B458" t="str">
            <v>합판거푸집</v>
          </cell>
          <cell r="C458" t="str">
            <v>4회</v>
          </cell>
          <cell r="D458">
            <v>22.35</v>
          </cell>
          <cell r="E458" t="str">
            <v>m2</v>
          </cell>
        </row>
        <row r="459">
          <cell r="B459" t="str">
            <v>철근가공및조립</v>
          </cell>
          <cell r="C459" t="str">
            <v>보통</v>
          </cell>
          <cell r="D459">
            <v>8.2000000000000003E-2</v>
          </cell>
          <cell r="E459" t="str">
            <v>TON</v>
          </cell>
        </row>
        <row r="460">
          <cell r="B460" t="str">
            <v>6)부대시설</v>
          </cell>
        </row>
        <row r="461">
          <cell r="A461">
            <v>32</v>
          </cell>
          <cell r="B461" t="str">
            <v>울타리설치</v>
          </cell>
          <cell r="C461" t="str">
            <v>B=2.0M,H=1.8M</v>
          </cell>
          <cell r="D461">
            <v>311.5</v>
          </cell>
          <cell r="E461" t="str">
            <v>스판</v>
          </cell>
        </row>
        <row r="462">
          <cell r="B462" t="str">
            <v>테니스장</v>
          </cell>
          <cell r="C462" t="str">
            <v>21.5*35.5</v>
          </cell>
          <cell r="D462">
            <v>1</v>
          </cell>
          <cell r="E462" t="str">
            <v>식</v>
          </cell>
        </row>
        <row r="463">
          <cell r="B463" t="str">
            <v>출입문</v>
          </cell>
          <cell r="C463" t="str">
            <v>1.8M*6M</v>
          </cell>
          <cell r="D463">
            <v>2</v>
          </cell>
          <cell r="E463" t="str">
            <v>개소</v>
          </cell>
        </row>
        <row r="464">
          <cell r="B464" t="str">
            <v>7)가설비</v>
          </cell>
        </row>
        <row r="465">
          <cell r="B465" t="str">
            <v>조립식가설사무소</v>
          </cell>
          <cell r="C465" t="str">
            <v>2년</v>
          </cell>
          <cell r="D465">
            <v>160</v>
          </cell>
          <cell r="E465" t="str">
            <v>m2</v>
          </cell>
        </row>
        <row r="466">
          <cell r="B466" t="str">
            <v>조립식가설창고</v>
          </cell>
          <cell r="C466" t="str">
            <v>2년</v>
          </cell>
          <cell r="D466">
            <v>120</v>
          </cell>
          <cell r="E466" t="str">
            <v>m2</v>
          </cell>
        </row>
        <row r="467">
          <cell r="B467" t="str">
            <v>조립식시험실</v>
          </cell>
          <cell r="C467" t="str">
            <v>2년</v>
          </cell>
          <cell r="D467">
            <v>40</v>
          </cell>
          <cell r="E467" t="str">
            <v>m2</v>
          </cell>
        </row>
        <row r="468">
          <cell r="B468" t="str">
            <v>4.운반비</v>
          </cell>
        </row>
        <row r="469">
          <cell r="B469" t="str">
            <v>시멘트운반</v>
          </cell>
          <cell r="D469">
            <v>323</v>
          </cell>
          <cell r="E469" t="str">
            <v>포</v>
          </cell>
        </row>
        <row r="470">
          <cell r="B470" t="str">
            <v>모래운반</v>
          </cell>
          <cell r="D470">
            <v>122</v>
          </cell>
          <cell r="E470" t="str">
            <v>m3</v>
          </cell>
        </row>
        <row r="471">
          <cell r="B471" t="str">
            <v>잡석운반</v>
          </cell>
          <cell r="D471">
            <v>34</v>
          </cell>
          <cell r="E471" t="str">
            <v>m3</v>
          </cell>
        </row>
        <row r="472">
          <cell r="B472" t="str">
            <v>자갈운반</v>
          </cell>
          <cell r="D472">
            <v>9</v>
          </cell>
          <cell r="E472" t="str">
            <v>m3</v>
          </cell>
        </row>
        <row r="473">
          <cell r="B473" t="str">
            <v>철근운반</v>
          </cell>
          <cell r="D473">
            <v>440.697</v>
          </cell>
          <cell r="E473" t="str">
            <v>TON</v>
          </cell>
        </row>
        <row r="474">
          <cell r="B474" t="str">
            <v>흄관운반</v>
          </cell>
          <cell r="C474" t="str">
            <v>D=250M/M</v>
          </cell>
          <cell r="D474">
            <v>62</v>
          </cell>
          <cell r="E474" t="str">
            <v>본</v>
          </cell>
        </row>
        <row r="475">
          <cell r="B475" t="str">
            <v>흄관운반</v>
          </cell>
          <cell r="C475" t="str">
            <v>D=300M/M</v>
          </cell>
          <cell r="D475">
            <v>15</v>
          </cell>
          <cell r="E475" t="str">
            <v>본</v>
          </cell>
        </row>
        <row r="476">
          <cell r="B476" t="str">
            <v>흄관운반</v>
          </cell>
          <cell r="C476" t="str">
            <v>D=450M/M</v>
          </cell>
          <cell r="D476">
            <v>229</v>
          </cell>
          <cell r="E476" t="str">
            <v>본</v>
          </cell>
        </row>
        <row r="477">
          <cell r="B477" t="str">
            <v>흄관운반</v>
          </cell>
          <cell r="C477" t="str">
            <v>D=600M/M</v>
          </cell>
          <cell r="D477">
            <v>38</v>
          </cell>
          <cell r="E477" t="str">
            <v>본</v>
          </cell>
        </row>
        <row r="478">
          <cell r="A478">
            <v>33</v>
          </cell>
          <cell r="B478" t="str">
            <v>구내배관운반</v>
          </cell>
          <cell r="D478">
            <v>48.442</v>
          </cell>
          <cell r="E478" t="str">
            <v>TON</v>
          </cell>
        </row>
        <row r="479">
          <cell r="B479" t="str">
            <v>아스콘(#467)</v>
          </cell>
          <cell r="C479" t="str">
            <v>운반</v>
          </cell>
          <cell r="D479">
            <v>1414</v>
          </cell>
          <cell r="E479" t="str">
            <v>TON</v>
          </cell>
        </row>
        <row r="480">
          <cell r="B480" t="str">
            <v>아스콘(#78)</v>
          </cell>
          <cell r="C480" t="str">
            <v>운반</v>
          </cell>
          <cell r="D480">
            <v>738</v>
          </cell>
          <cell r="E480" t="str">
            <v>TON</v>
          </cell>
        </row>
        <row r="481">
          <cell r="B481" t="str">
            <v>아스팔트(MC-3)</v>
          </cell>
          <cell r="C481" t="str">
            <v>운반</v>
          </cell>
          <cell r="D481">
            <v>25</v>
          </cell>
          <cell r="E481" t="str">
            <v>드럼</v>
          </cell>
        </row>
        <row r="482">
          <cell r="B482" t="str">
            <v>아스팔트(RSC-4)</v>
          </cell>
          <cell r="C482" t="str">
            <v>운반</v>
          </cell>
          <cell r="D482">
            <v>9</v>
          </cell>
          <cell r="E482" t="str">
            <v>드럼</v>
          </cell>
        </row>
        <row r="483">
          <cell r="B483" t="str">
            <v>보조기층재운반</v>
          </cell>
          <cell r="D483">
            <v>3621</v>
          </cell>
          <cell r="E483" t="str">
            <v>m3</v>
          </cell>
        </row>
        <row r="484">
          <cell r="B484" t="str">
            <v>중기 운반비</v>
          </cell>
          <cell r="D484">
            <v>1</v>
          </cell>
          <cell r="E484" t="str">
            <v>식</v>
          </cell>
        </row>
        <row r="485">
          <cell r="B485" t="str">
            <v>SHEET-PILE운반</v>
          </cell>
          <cell r="C485" t="str">
            <v>H=9.0M</v>
          </cell>
          <cell r="D485">
            <v>51.375</v>
          </cell>
          <cell r="E485" t="str">
            <v>TON</v>
          </cell>
        </row>
        <row r="486">
          <cell r="B486" t="str">
            <v>*사급자재비</v>
          </cell>
        </row>
        <row r="487">
          <cell r="B487" t="str">
            <v>스페이서</v>
          </cell>
          <cell r="C487" t="str">
            <v>T=150</v>
          </cell>
          <cell r="D487">
            <v>2228</v>
          </cell>
          <cell r="E487" t="str">
            <v>EA</v>
          </cell>
        </row>
        <row r="488">
          <cell r="B488" t="str">
            <v>스페이서</v>
          </cell>
          <cell r="C488" t="str">
            <v>T=100</v>
          </cell>
          <cell r="D488">
            <v>1228</v>
          </cell>
          <cell r="E488" t="str">
            <v>EA</v>
          </cell>
        </row>
        <row r="489">
          <cell r="B489" t="str">
            <v>스페이서</v>
          </cell>
          <cell r="C489" t="str">
            <v>T=80</v>
          </cell>
          <cell r="D489">
            <v>13138</v>
          </cell>
          <cell r="E489" t="str">
            <v>EA</v>
          </cell>
        </row>
        <row r="490">
          <cell r="B490" t="str">
            <v>스페이서</v>
          </cell>
          <cell r="C490" t="str">
            <v>T=60</v>
          </cell>
          <cell r="D490">
            <v>1690</v>
          </cell>
          <cell r="E490" t="str">
            <v>EA</v>
          </cell>
        </row>
        <row r="491">
          <cell r="B491" t="str">
            <v>스페이서</v>
          </cell>
          <cell r="C491" t="str">
            <v>T=50</v>
          </cell>
          <cell r="D491">
            <v>938</v>
          </cell>
          <cell r="E491" t="str">
            <v>EA</v>
          </cell>
        </row>
        <row r="492">
          <cell r="B492" t="str">
            <v>그레이팅뚜껑</v>
          </cell>
          <cell r="C492" t="str">
            <v>690*2890*44</v>
          </cell>
          <cell r="D492">
            <v>1</v>
          </cell>
          <cell r="E492" t="str">
            <v>EA</v>
          </cell>
        </row>
        <row r="493">
          <cell r="B493" t="str">
            <v>그레이팅뚜껑</v>
          </cell>
          <cell r="C493" t="str">
            <v>690*2090*44</v>
          </cell>
          <cell r="D493">
            <v>1</v>
          </cell>
          <cell r="E493" t="str">
            <v>EA</v>
          </cell>
        </row>
        <row r="494">
          <cell r="B494" t="str">
            <v>그레이팅뚜껑</v>
          </cell>
          <cell r="C494" t="str">
            <v>690*1090*44</v>
          </cell>
          <cell r="D494">
            <v>3</v>
          </cell>
          <cell r="E494" t="str">
            <v>EA</v>
          </cell>
        </row>
        <row r="495">
          <cell r="B495" t="str">
            <v>그레이팅뚜껑</v>
          </cell>
          <cell r="C495" t="str">
            <v>690*690*44</v>
          </cell>
          <cell r="D495">
            <v>9</v>
          </cell>
          <cell r="E495" t="str">
            <v>EA</v>
          </cell>
        </row>
        <row r="496">
          <cell r="B496" t="str">
            <v>그레이팅뚜껑</v>
          </cell>
          <cell r="C496" t="str">
            <v>690*1590*44</v>
          </cell>
          <cell r="D496">
            <v>1</v>
          </cell>
          <cell r="E496" t="str">
            <v>EA</v>
          </cell>
        </row>
        <row r="497">
          <cell r="B497" t="str">
            <v>그레이팅뚜껑</v>
          </cell>
          <cell r="C497" t="str">
            <v>890*890*44</v>
          </cell>
          <cell r="D497">
            <v>6</v>
          </cell>
          <cell r="E497" t="str">
            <v>EA</v>
          </cell>
        </row>
        <row r="498">
          <cell r="B498" t="str">
            <v>그레이팅뚜껑</v>
          </cell>
          <cell r="C498" t="str">
            <v>1090*1090*44</v>
          </cell>
          <cell r="D498">
            <v>5</v>
          </cell>
          <cell r="E498" t="str">
            <v>EA</v>
          </cell>
        </row>
        <row r="499">
          <cell r="B499" t="str">
            <v>그레이팅뚜껑</v>
          </cell>
          <cell r="C499" t="str">
            <v>345*590*44</v>
          </cell>
          <cell r="D499">
            <v>2</v>
          </cell>
          <cell r="E499" t="str">
            <v>EA</v>
          </cell>
        </row>
        <row r="500">
          <cell r="B500" t="str">
            <v>그레이팅뚜껑</v>
          </cell>
          <cell r="C500" t="str">
            <v>3090*490*44</v>
          </cell>
          <cell r="D500">
            <v>6</v>
          </cell>
          <cell r="E500" t="str">
            <v>EA</v>
          </cell>
        </row>
        <row r="501">
          <cell r="B501" t="str">
            <v>그레이팅뚜껑</v>
          </cell>
          <cell r="C501" t="str">
            <v>6522*590*44</v>
          </cell>
          <cell r="D501">
            <v>4</v>
          </cell>
          <cell r="E501" t="str">
            <v>EA</v>
          </cell>
        </row>
        <row r="502">
          <cell r="B502" t="str">
            <v>그레이팅뚜껑</v>
          </cell>
          <cell r="C502" t="str">
            <v>1090*590*44</v>
          </cell>
          <cell r="D502">
            <v>4</v>
          </cell>
          <cell r="E502" t="str">
            <v>EA</v>
          </cell>
        </row>
        <row r="503">
          <cell r="B503" t="str">
            <v>그레이팅뚜껑</v>
          </cell>
          <cell r="C503" t="str">
            <v>845*845*44</v>
          </cell>
          <cell r="D503">
            <v>6</v>
          </cell>
          <cell r="E503" t="str">
            <v>EA</v>
          </cell>
        </row>
        <row r="504">
          <cell r="B504" t="str">
            <v>그레이팅뚜껑</v>
          </cell>
          <cell r="C504" t="str">
            <v>900*290*44</v>
          </cell>
          <cell r="D504">
            <v>4</v>
          </cell>
          <cell r="E504" t="str">
            <v>EA</v>
          </cell>
        </row>
        <row r="505">
          <cell r="B505" t="str">
            <v>그레이팅뚜껑</v>
          </cell>
          <cell r="C505" t="str">
            <v>890*690*44</v>
          </cell>
          <cell r="D505">
            <v>6</v>
          </cell>
          <cell r="E505" t="str">
            <v>EA</v>
          </cell>
        </row>
        <row r="506">
          <cell r="B506" t="str">
            <v>그레이팅뚜껑</v>
          </cell>
          <cell r="C506" t="str">
            <v>890*2290*44</v>
          </cell>
          <cell r="D506">
            <v>1</v>
          </cell>
          <cell r="E506" t="str">
            <v>EA</v>
          </cell>
        </row>
        <row r="507">
          <cell r="B507" t="str">
            <v>그레이팅뚜껑</v>
          </cell>
          <cell r="C507" t="str">
            <v>890*2200*44</v>
          </cell>
          <cell r="D507">
            <v>1</v>
          </cell>
          <cell r="E507" t="str">
            <v>EA</v>
          </cell>
        </row>
        <row r="508">
          <cell r="B508" t="str">
            <v>그레이팅뚜껑</v>
          </cell>
          <cell r="C508" t="str">
            <v>5600*590*44</v>
          </cell>
          <cell r="D508">
            <v>4</v>
          </cell>
          <cell r="E508" t="str">
            <v>EA</v>
          </cell>
        </row>
        <row r="509">
          <cell r="B509" t="str">
            <v>그레이팅뚜껑</v>
          </cell>
          <cell r="C509" t="str">
            <v>1590*1590*44</v>
          </cell>
          <cell r="D509">
            <v>1</v>
          </cell>
          <cell r="E509" t="str">
            <v>EA</v>
          </cell>
        </row>
        <row r="510">
          <cell r="B510" t="str">
            <v>농축조 카바</v>
          </cell>
          <cell r="C510" t="str">
            <v>D=2800M/M</v>
          </cell>
          <cell r="D510">
            <v>2</v>
          </cell>
          <cell r="E510" t="str">
            <v>EA</v>
          </cell>
        </row>
        <row r="511">
          <cell r="B511" t="str">
            <v>공동구카바</v>
          </cell>
          <cell r="C511" t="str">
            <v>2900*1400</v>
          </cell>
          <cell r="D511">
            <v>4</v>
          </cell>
          <cell r="E511" t="str">
            <v>EA</v>
          </cell>
        </row>
        <row r="512">
          <cell r="B512" t="str">
            <v xml:space="preserve">PVC PIPE </v>
          </cell>
          <cell r="C512" t="str">
            <v>D=25M/M</v>
          </cell>
          <cell r="D512">
            <v>33.6</v>
          </cell>
          <cell r="E512" t="str">
            <v>m</v>
          </cell>
        </row>
        <row r="513">
          <cell r="B513" t="str">
            <v xml:space="preserve">PVC PIPE </v>
          </cell>
          <cell r="C513" t="str">
            <v>D=100M/M</v>
          </cell>
          <cell r="D513">
            <v>2.2999999999999998</v>
          </cell>
          <cell r="E513" t="str">
            <v>m</v>
          </cell>
        </row>
        <row r="514">
          <cell r="B514" t="str">
            <v xml:space="preserve">PVC PIPE </v>
          </cell>
          <cell r="C514" t="str">
            <v>D=150M/M</v>
          </cell>
          <cell r="D514">
            <v>85.1</v>
          </cell>
          <cell r="E514" t="str">
            <v>m</v>
          </cell>
        </row>
        <row r="515">
          <cell r="B515" t="str">
            <v>잡석</v>
          </cell>
          <cell r="D515">
            <v>34</v>
          </cell>
          <cell r="E515" t="str">
            <v>m</v>
          </cell>
        </row>
        <row r="516">
          <cell r="B516" t="str">
            <v>모래</v>
          </cell>
          <cell r="D516">
            <v>122</v>
          </cell>
          <cell r="E516" t="str">
            <v>m3</v>
          </cell>
        </row>
        <row r="517">
          <cell r="B517" t="str">
            <v>자갈</v>
          </cell>
          <cell r="C517" t="str">
            <v>D=25M/M</v>
          </cell>
          <cell r="D517">
            <v>9</v>
          </cell>
          <cell r="E517" t="str">
            <v>m3</v>
          </cell>
        </row>
        <row r="518">
          <cell r="B518" t="str">
            <v>보조기층</v>
          </cell>
          <cell r="D518">
            <v>3621</v>
          </cell>
          <cell r="E518" t="str">
            <v>m3</v>
          </cell>
        </row>
        <row r="519">
          <cell r="B519" t="str">
            <v>동판지수판</v>
          </cell>
          <cell r="C519" t="str">
            <v>B=450*21</v>
          </cell>
          <cell r="D519">
            <v>103.69</v>
          </cell>
          <cell r="E519" t="str">
            <v>kg</v>
          </cell>
        </row>
        <row r="520">
          <cell r="B520" t="str">
            <v>SLOP-BAR</v>
          </cell>
          <cell r="C520" t="str">
            <v>D=19M/M</v>
          </cell>
          <cell r="D520">
            <v>56</v>
          </cell>
          <cell r="E520" t="str">
            <v>EA</v>
          </cell>
        </row>
        <row r="521">
          <cell r="B521" t="str">
            <v>PC파일</v>
          </cell>
          <cell r="C521" t="str">
            <v>D=350,L=4M</v>
          </cell>
          <cell r="D521">
            <v>35</v>
          </cell>
          <cell r="E521" t="str">
            <v>본</v>
          </cell>
        </row>
        <row r="522">
          <cell r="B522" t="str">
            <v>PC파일</v>
          </cell>
          <cell r="C522" t="str">
            <v>D=350,L=5M</v>
          </cell>
          <cell r="D522">
            <v>102</v>
          </cell>
          <cell r="E522" t="str">
            <v>본</v>
          </cell>
        </row>
        <row r="523">
          <cell r="B523" t="str">
            <v>PC파일</v>
          </cell>
          <cell r="C523" t="str">
            <v>D=350,L=6M</v>
          </cell>
          <cell r="D523">
            <v>56</v>
          </cell>
          <cell r="E523" t="str">
            <v>본</v>
          </cell>
        </row>
        <row r="524">
          <cell r="B524" t="str">
            <v>PC파일</v>
          </cell>
          <cell r="C524" t="str">
            <v>D=350,L=7M</v>
          </cell>
          <cell r="D524">
            <v>15</v>
          </cell>
          <cell r="E524" t="str">
            <v>본</v>
          </cell>
        </row>
        <row r="525">
          <cell r="B525" t="str">
            <v>PC파일</v>
          </cell>
          <cell r="C525" t="str">
            <v>D=350,L=8M</v>
          </cell>
          <cell r="D525">
            <v>8</v>
          </cell>
          <cell r="E525" t="str">
            <v>본</v>
          </cell>
        </row>
        <row r="526">
          <cell r="B526" t="str">
            <v>PC파일</v>
          </cell>
          <cell r="C526" t="str">
            <v>D=350,L=9M</v>
          </cell>
          <cell r="D526">
            <v>154</v>
          </cell>
          <cell r="E526" t="str">
            <v>본</v>
          </cell>
        </row>
        <row r="527">
          <cell r="B527" t="str">
            <v xml:space="preserve">PE관 </v>
          </cell>
          <cell r="C527" t="str">
            <v>D=100M/M</v>
          </cell>
          <cell r="D527">
            <v>25</v>
          </cell>
          <cell r="E527" t="str">
            <v>본</v>
          </cell>
        </row>
        <row r="528">
          <cell r="B528" t="str">
            <v xml:space="preserve">PE관 </v>
          </cell>
          <cell r="C528" t="str">
            <v>D=200M/M</v>
          </cell>
          <cell r="D528">
            <v>174</v>
          </cell>
          <cell r="E528" t="str">
            <v>본</v>
          </cell>
        </row>
        <row r="529">
          <cell r="A529">
            <v>36</v>
          </cell>
          <cell r="B529" t="str">
            <v xml:space="preserve">PE관 </v>
          </cell>
          <cell r="C529" t="str">
            <v>D=250M/M</v>
          </cell>
          <cell r="D529">
            <v>260</v>
          </cell>
          <cell r="E529" t="str">
            <v>본</v>
          </cell>
        </row>
        <row r="530">
          <cell r="B530" t="str">
            <v xml:space="preserve">PE곡관 </v>
          </cell>
          <cell r="C530" t="str">
            <v>D=200*45</v>
          </cell>
          <cell r="D530">
            <v>2</v>
          </cell>
          <cell r="E530" t="str">
            <v>본</v>
          </cell>
        </row>
        <row r="531">
          <cell r="B531" t="str">
            <v xml:space="preserve">PE곡관 </v>
          </cell>
          <cell r="C531" t="str">
            <v>16*90</v>
          </cell>
          <cell r="D531">
            <v>3</v>
          </cell>
          <cell r="E531" t="str">
            <v>본</v>
          </cell>
        </row>
        <row r="532">
          <cell r="B532" t="str">
            <v xml:space="preserve">PE곡관 </v>
          </cell>
          <cell r="C532" t="str">
            <v>25*90</v>
          </cell>
          <cell r="D532">
            <v>5</v>
          </cell>
          <cell r="E532" t="str">
            <v>본</v>
          </cell>
        </row>
        <row r="533">
          <cell r="B533" t="str">
            <v xml:space="preserve">PE곡관 </v>
          </cell>
          <cell r="C533" t="str">
            <v>40*90</v>
          </cell>
          <cell r="D533">
            <v>7</v>
          </cell>
          <cell r="E533" t="str">
            <v>본</v>
          </cell>
        </row>
        <row r="534">
          <cell r="B534" t="str">
            <v xml:space="preserve">PE곡관 </v>
          </cell>
          <cell r="C534" t="str">
            <v>50*90</v>
          </cell>
          <cell r="D534">
            <v>2</v>
          </cell>
          <cell r="E534" t="str">
            <v>본</v>
          </cell>
        </row>
        <row r="535">
          <cell r="B535" t="str">
            <v>수도용 PE 관</v>
          </cell>
          <cell r="C535" t="str">
            <v>D=16M/M</v>
          </cell>
          <cell r="D535">
            <v>18</v>
          </cell>
          <cell r="E535" t="str">
            <v>m</v>
          </cell>
        </row>
        <row r="536">
          <cell r="B536" t="str">
            <v>수도용 PE 관</v>
          </cell>
          <cell r="C536" t="str">
            <v>D=25M/M</v>
          </cell>
          <cell r="D536">
            <v>123</v>
          </cell>
          <cell r="E536" t="str">
            <v>m</v>
          </cell>
        </row>
        <row r="537">
          <cell r="B537" t="str">
            <v>수도용 PE 관</v>
          </cell>
          <cell r="C537" t="str">
            <v>D=40M/M</v>
          </cell>
          <cell r="D537">
            <v>76</v>
          </cell>
          <cell r="E537" t="str">
            <v>m</v>
          </cell>
        </row>
        <row r="538">
          <cell r="B538" t="str">
            <v>수도용 PE 관</v>
          </cell>
          <cell r="C538" t="str">
            <v>D=50M/M</v>
          </cell>
          <cell r="D538">
            <v>77</v>
          </cell>
          <cell r="E538" t="str">
            <v>m</v>
          </cell>
        </row>
        <row r="539">
          <cell r="B539" t="str">
            <v>PE 이경티</v>
          </cell>
          <cell r="C539" t="str">
            <v>D=40*25M/M</v>
          </cell>
          <cell r="D539">
            <v>1</v>
          </cell>
          <cell r="E539" t="str">
            <v>EA</v>
          </cell>
        </row>
        <row r="540">
          <cell r="B540" t="str">
            <v>콘크리트뚜껑</v>
          </cell>
          <cell r="C540" t="str">
            <v>550*620*80</v>
          </cell>
          <cell r="D540">
            <v>16</v>
          </cell>
          <cell r="E540" t="str">
            <v>EA</v>
          </cell>
        </row>
        <row r="541">
          <cell r="B541" t="str">
            <v>콘크리트뚜껑</v>
          </cell>
          <cell r="C541" t="str">
            <v>500*440*80</v>
          </cell>
          <cell r="D541">
            <v>90</v>
          </cell>
          <cell r="E541" t="str">
            <v>EA</v>
          </cell>
        </row>
        <row r="542">
          <cell r="B542" t="str">
            <v>스틸그레이팅</v>
          </cell>
          <cell r="C542" t="str">
            <v>400*500*50</v>
          </cell>
          <cell r="D542">
            <v>43</v>
          </cell>
          <cell r="E542" t="str">
            <v>조</v>
          </cell>
        </row>
        <row r="543">
          <cell r="B543" t="str">
            <v>PE차단식홈통받이</v>
          </cell>
          <cell r="C543" t="str">
            <v>D=500,H=600</v>
          </cell>
          <cell r="D543">
            <v>7</v>
          </cell>
          <cell r="E543" t="str">
            <v>EA</v>
          </cell>
        </row>
        <row r="544">
          <cell r="B544" t="str">
            <v>맨홀뚜껑</v>
          </cell>
          <cell r="C544" t="str">
            <v>D=648M/M</v>
          </cell>
          <cell r="D544">
            <v>38</v>
          </cell>
          <cell r="E544" t="str">
            <v>조</v>
          </cell>
        </row>
        <row r="545">
          <cell r="B545" t="str">
            <v>STS PIPE</v>
          </cell>
          <cell r="C545" t="str">
            <v>D=50M/M</v>
          </cell>
          <cell r="D545">
            <v>0.5</v>
          </cell>
          <cell r="E545" t="str">
            <v>m</v>
          </cell>
        </row>
        <row r="546">
          <cell r="B546" t="str">
            <v>STS 곡관</v>
          </cell>
          <cell r="C546" t="str">
            <v>50*90</v>
          </cell>
          <cell r="D546">
            <v>2</v>
          </cell>
          <cell r="E546" t="str">
            <v>EA</v>
          </cell>
        </row>
        <row r="547">
          <cell r="B547" t="str">
            <v>도로경계블럭</v>
          </cell>
          <cell r="C547" t="str">
            <v>120*120</v>
          </cell>
          <cell r="D547">
            <v>17</v>
          </cell>
          <cell r="E547" t="str">
            <v>m</v>
          </cell>
        </row>
        <row r="548">
          <cell r="B548" t="str">
            <v>ILP고압블럭설치</v>
          </cell>
          <cell r="C548" t="str">
            <v>T=6cm</v>
          </cell>
          <cell r="D548">
            <v>20.440000000000001</v>
          </cell>
          <cell r="E548" t="str">
            <v>m2</v>
          </cell>
        </row>
        <row r="549">
          <cell r="B549" t="str">
            <v>플랜지단관</v>
          </cell>
          <cell r="C549" t="str">
            <v>D=100,L=1.00</v>
          </cell>
          <cell r="D549">
            <v>10</v>
          </cell>
          <cell r="E549" t="str">
            <v>EA</v>
          </cell>
        </row>
        <row r="550">
          <cell r="B550" t="str">
            <v>플랜지단관</v>
          </cell>
          <cell r="C550" t="str">
            <v>D=100,L=0.31</v>
          </cell>
          <cell r="D550">
            <v>2</v>
          </cell>
          <cell r="E550" t="str">
            <v>EA</v>
          </cell>
        </row>
        <row r="551">
          <cell r="B551" t="str">
            <v>플랜지단관</v>
          </cell>
          <cell r="C551" t="str">
            <v>D=100,L=0.399</v>
          </cell>
          <cell r="D551">
            <v>2</v>
          </cell>
          <cell r="E551" t="str">
            <v>EA</v>
          </cell>
        </row>
        <row r="552">
          <cell r="B552" t="str">
            <v>플랜지단관</v>
          </cell>
          <cell r="C552" t="str">
            <v>D=100,L=0.75</v>
          </cell>
          <cell r="D552">
            <v>2</v>
          </cell>
          <cell r="E552" t="str">
            <v>EA</v>
          </cell>
        </row>
        <row r="553">
          <cell r="B553" t="str">
            <v>플랜지단관</v>
          </cell>
          <cell r="C553" t="str">
            <v>D=150,L=0.755</v>
          </cell>
          <cell r="D553">
            <v>2</v>
          </cell>
          <cell r="E553" t="str">
            <v>EA</v>
          </cell>
        </row>
        <row r="554">
          <cell r="B554" t="str">
            <v>플랜지단관</v>
          </cell>
          <cell r="C554" t="str">
            <v>D=200,L=1.00</v>
          </cell>
          <cell r="D554">
            <v>6</v>
          </cell>
          <cell r="E554" t="str">
            <v>EA</v>
          </cell>
        </row>
        <row r="555">
          <cell r="B555" t="str">
            <v>플랜지단관</v>
          </cell>
          <cell r="C555" t="str">
            <v>D=250,L=1.00</v>
          </cell>
          <cell r="D555">
            <v>10</v>
          </cell>
          <cell r="E555" t="str">
            <v>EA</v>
          </cell>
        </row>
        <row r="556">
          <cell r="B556" t="str">
            <v>플랜지단관</v>
          </cell>
          <cell r="C556" t="str">
            <v>D=250,L=1.245</v>
          </cell>
          <cell r="D556">
            <v>2</v>
          </cell>
          <cell r="E556" t="str">
            <v>EA</v>
          </cell>
        </row>
        <row r="557">
          <cell r="B557" t="str">
            <v>플랜지단관</v>
          </cell>
          <cell r="C557" t="str">
            <v>D=250,L=3.145</v>
          </cell>
          <cell r="D557">
            <v>2</v>
          </cell>
          <cell r="E557" t="str">
            <v>EA</v>
          </cell>
        </row>
        <row r="558">
          <cell r="B558" t="str">
            <v>플랜지단관</v>
          </cell>
          <cell r="C558" t="str">
            <v>D=300,L=0.875</v>
          </cell>
          <cell r="D558">
            <v>2</v>
          </cell>
          <cell r="E558" t="str">
            <v>EA</v>
          </cell>
        </row>
        <row r="559">
          <cell r="B559" t="str">
            <v>플랜지단관</v>
          </cell>
          <cell r="C559" t="str">
            <v>D=300,L=0.605</v>
          </cell>
          <cell r="D559">
            <v>1</v>
          </cell>
          <cell r="E559" t="str">
            <v>EA</v>
          </cell>
        </row>
        <row r="560">
          <cell r="B560" t="str">
            <v>플랜지단관</v>
          </cell>
          <cell r="C560" t="str">
            <v>D=350,L=1.00</v>
          </cell>
          <cell r="D560">
            <v>1</v>
          </cell>
          <cell r="E560" t="str">
            <v>EA</v>
          </cell>
        </row>
        <row r="561">
          <cell r="B561" t="str">
            <v>플랜지단관</v>
          </cell>
          <cell r="C561" t="str">
            <v>D=350,L=0.74</v>
          </cell>
          <cell r="D561">
            <v>1</v>
          </cell>
          <cell r="E561" t="str">
            <v>EA</v>
          </cell>
        </row>
        <row r="562">
          <cell r="B562" t="str">
            <v>플랜지단관</v>
          </cell>
          <cell r="C562" t="str">
            <v>D=400,L=1.00</v>
          </cell>
          <cell r="D562">
            <v>6</v>
          </cell>
          <cell r="E562" t="str">
            <v>EA</v>
          </cell>
        </row>
        <row r="563">
          <cell r="A563">
            <v>39</v>
          </cell>
          <cell r="B563" t="str">
            <v>플랜지단관</v>
          </cell>
          <cell r="C563" t="str">
            <v>D=400,L=2.58</v>
          </cell>
          <cell r="D563">
            <v>2</v>
          </cell>
          <cell r="E563" t="str">
            <v>EA</v>
          </cell>
        </row>
        <row r="564">
          <cell r="B564" t="str">
            <v>플랜지관</v>
          </cell>
          <cell r="C564" t="str">
            <v>D=350</v>
          </cell>
          <cell r="D564">
            <v>1</v>
          </cell>
          <cell r="E564" t="str">
            <v>EA</v>
          </cell>
        </row>
        <row r="565">
          <cell r="B565" t="str">
            <v>플랜지관</v>
          </cell>
          <cell r="C565" t="str">
            <v>D=400</v>
          </cell>
          <cell r="D565">
            <v>4</v>
          </cell>
          <cell r="E565" t="str">
            <v>EA</v>
          </cell>
        </row>
        <row r="566">
          <cell r="B566" t="str">
            <v>플랜지관</v>
          </cell>
          <cell r="C566" t="str">
            <v>D=500</v>
          </cell>
          <cell r="D566">
            <v>2</v>
          </cell>
          <cell r="E566" t="str">
            <v>EA</v>
          </cell>
        </row>
        <row r="567">
          <cell r="B567" t="str">
            <v>플랜지관</v>
          </cell>
          <cell r="C567" t="str">
            <v>D=600</v>
          </cell>
          <cell r="D567">
            <v>2</v>
          </cell>
          <cell r="E567" t="str">
            <v>EA</v>
          </cell>
        </row>
        <row r="568">
          <cell r="B568" t="str">
            <v>소켓단관</v>
          </cell>
          <cell r="C568" t="str">
            <v>D=100,L=2.61</v>
          </cell>
          <cell r="D568">
            <v>1</v>
          </cell>
          <cell r="E568" t="str">
            <v>EA</v>
          </cell>
        </row>
        <row r="569">
          <cell r="B569" t="str">
            <v>소켓단관</v>
          </cell>
          <cell r="C569" t="str">
            <v>D=100,L=1.61</v>
          </cell>
          <cell r="D569">
            <v>1</v>
          </cell>
          <cell r="E569" t="str">
            <v>EA</v>
          </cell>
        </row>
        <row r="570">
          <cell r="B570" t="str">
            <v>소켓단관</v>
          </cell>
          <cell r="C570" t="str">
            <v>D=100,L=1.839</v>
          </cell>
          <cell r="D570">
            <v>2</v>
          </cell>
          <cell r="E570" t="str">
            <v>EA</v>
          </cell>
        </row>
        <row r="571">
          <cell r="B571" t="str">
            <v>소켓단관</v>
          </cell>
          <cell r="C571" t="str">
            <v>D=100,L=2.77</v>
          </cell>
          <cell r="D571">
            <v>2</v>
          </cell>
          <cell r="E571" t="str">
            <v>EA</v>
          </cell>
        </row>
        <row r="572">
          <cell r="B572" t="str">
            <v>소켓단관</v>
          </cell>
          <cell r="C572" t="str">
            <v>D=150,L=1.00</v>
          </cell>
          <cell r="D572">
            <v>1</v>
          </cell>
          <cell r="E572" t="str">
            <v>EA</v>
          </cell>
        </row>
        <row r="573">
          <cell r="B573" t="str">
            <v>소켓단관</v>
          </cell>
          <cell r="C573" t="str">
            <v>D=150,L=4.21</v>
          </cell>
          <cell r="D573">
            <v>1</v>
          </cell>
          <cell r="E573" t="str">
            <v>EA</v>
          </cell>
        </row>
        <row r="574">
          <cell r="B574" t="str">
            <v>소켓단관</v>
          </cell>
          <cell r="C574" t="str">
            <v>D=150,L=1.851</v>
          </cell>
          <cell r="D574">
            <v>1</v>
          </cell>
          <cell r="E574" t="str">
            <v>EA</v>
          </cell>
        </row>
        <row r="575">
          <cell r="B575" t="str">
            <v>소켓단관</v>
          </cell>
          <cell r="C575" t="str">
            <v>D=150,L=4.4</v>
          </cell>
          <cell r="D575">
            <v>1</v>
          </cell>
          <cell r="E575" t="str">
            <v>EA</v>
          </cell>
        </row>
        <row r="576">
          <cell r="B576" t="str">
            <v>소켓단관</v>
          </cell>
          <cell r="C576" t="str">
            <v>D=200,L=3.797</v>
          </cell>
          <cell r="D576">
            <v>2</v>
          </cell>
          <cell r="E576" t="str">
            <v>EA</v>
          </cell>
        </row>
        <row r="577">
          <cell r="B577" t="str">
            <v>소켓단관</v>
          </cell>
          <cell r="C577" t="str">
            <v>D=250,L=1.00</v>
          </cell>
          <cell r="D577">
            <v>2</v>
          </cell>
          <cell r="E577" t="str">
            <v>EA</v>
          </cell>
        </row>
        <row r="578">
          <cell r="B578" t="str">
            <v>소켓단관</v>
          </cell>
          <cell r="C578" t="str">
            <v>D=250,L=0.365</v>
          </cell>
          <cell r="D578">
            <v>2</v>
          </cell>
          <cell r="E578" t="str">
            <v>EA</v>
          </cell>
        </row>
        <row r="579">
          <cell r="B579" t="str">
            <v>소켓단관</v>
          </cell>
          <cell r="C579" t="str">
            <v>D=250,L=0.832</v>
          </cell>
          <cell r="D579">
            <v>2</v>
          </cell>
          <cell r="E579" t="str">
            <v>EA</v>
          </cell>
        </row>
        <row r="580">
          <cell r="A580">
            <v>40</v>
          </cell>
          <cell r="B580" t="str">
            <v>소켓단관</v>
          </cell>
          <cell r="C580" t="str">
            <v>D=250,L=1.775</v>
          </cell>
          <cell r="D580">
            <v>2</v>
          </cell>
          <cell r="E580" t="str">
            <v>EA</v>
          </cell>
        </row>
        <row r="581">
          <cell r="B581" t="str">
            <v>소켓단관</v>
          </cell>
          <cell r="C581" t="str">
            <v>D=250,L=4.88</v>
          </cell>
          <cell r="D581">
            <v>2</v>
          </cell>
          <cell r="E581" t="str">
            <v>EA</v>
          </cell>
        </row>
        <row r="582">
          <cell r="B582" t="str">
            <v>소켓단관</v>
          </cell>
          <cell r="C582" t="str">
            <v>D=250,L=2.722</v>
          </cell>
          <cell r="D582">
            <v>2</v>
          </cell>
          <cell r="E582" t="str">
            <v>EA</v>
          </cell>
        </row>
        <row r="583">
          <cell r="B583" t="str">
            <v>소켓단관</v>
          </cell>
          <cell r="C583" t="str">
            <v>D=300,L=3.603</v>
          </cell>
          <cell r="D583">
            <v>1</v>
          </cell>
          <cell r="E583" t="str">
            <v>EA</v>
          </cell>
        </row>
        <row r="584">
          <cell r="B584" t="str">
            <v>소켓단관</v>
          </cell>
          <cell r="C584" t="str">
            <v>D=350,L=3.14</v>
          </cell>
          <cell r="D584">
            <v>1</v>
          </cell>
          <cell r="E584" t="str">
            <v>EA</v>
          </cell>
        </row>
        <row r="585">
          <cell r="B585" t="str">
            <v>소켓단관</v>
          </cell>
          <cell r="C585" t="str">
            <v>D=400,L=1.932</v>
          </cell>
          <cell r="D585">
            <v>2</v>
          </cell>
          <cell r="E585" t="str">
            <v>EA</v>
          </cell>
        </row>
        <row r="586">
          <cell r="B586" t="str">
            <v>소켓단관</v>
          </cell>
          <cell r="C586" t="str">
            <v>D=400,L=3.916</v>
          </cell>
          <cell r="D586">
            <v>1</v>
          </cell>
          <cell r="E586" t="str">
            <v>EA</v>
          </cell>
        </row>
        <row r="587">
          <cell r="B587" t="str">
            <v>소켓단관</v>
          </cell>
          <cell r="C587" t="str">
            <v>D=400,L=5.879</v>
          </cell>
          <cell r="D587">
            <v>1</v>
          </cell>
          <cell r="E587" t="str">
            <v>EA</v>
          </cell>
        </row>
        <row r="588">
          <cell r="B588" t="str">
            <v>소켓단관</v>
          </cell>
          <cell r="C588" t="str">
            <v>D=400,L=4.700</v>
          </cell>
          <cell r="D588">
            <v>2</v>
          </cell>
          <cell r="E588" t="str">
            <v>EA</v>
          </cell>
        </row>
        <row r="589">
          <cell r="B589" t="str">
            <v>소켓단관</v>
          </cell>
          <cell r="C589" t="str">
            <v>D=400,L=5.12</v>
          </cell>
          <cell r="D589">
            <v>2</v>
          </cell>
          <cell r="E589" t="str">
            <v>EA</v>
          </cell>
        </row>
        <row r="590">
          <cell r="B590" t="str">
            <v>소켓단관</v>
          </cell>
          <cell r="C590" t="str">
            <v>D=500,L=5.565</v>
          </cell>
          <cell r="D590">
            <v>1</v>
          </cell>
          <cell r="E590" t="str">
            <v>EA</v>
          </cell>
        </row>
        <row r="591">
          <cell r="B591" t="str">
            <v>소켓단관</v>
          </cell>
          <cell r="C591" t="str">
            <v>D=500,L=1.995</v>
          </cell>
          <cell r="D591">
            <v>1</v>
          </cell>
          <cell r="E591" t="str">
            <v>EA</v>
          </cell>
        </row>
        <row r="592">
          <cell r="B592" t="str">
            <v>소켓단관</v>
          </cell>
          <cell r="C592" t="str">
            <v>D=500,L=5.115</v>
          </cell>
          <cell r="D592">
            <v>1</v>
          </cell>
          <cell r="E592" t="str">
            <v>EA</v>
          </cell>
        </row>
        <row r="593">
          <cell r="B593" t="str">
            <v>소켓단관</v>
          </cell>
          <cell r="C593" t="str">
            <v>D=600,L=0.82</v>
          </cell>
          <cell r="D593">
            <v>1</v>
          </cell>
          <cell r="E593" t="str">
            <v>EA</v>
          </cell>
        </row>
        <row r="594">
          <cell r="B594" t="str">
            <v>소켓단관</v>
          </cell>
          <cell r="C594" t="str">
            <v>D=600,L=0.56</v>
          </cell>
          <cell r="D594">
            <v>1</v>
          </cell>
          <cell r="E594" t="str">
            <v>EA</v>
          </cell>
        </row>
        <row r="595">
          <cell r="B595" t="str">
            <v>소켓단관</v>
          </cell>
          <cell r="C595" t="str">
            <v>D=600,L=1.78</v>
          </cell>
          <cell r="D595">
            <v>1</v>
          </cell>
          <cell r="E595" t="str">
            <v>EA</v>
          </cell>
        </row>
        <row r="596">
          <cell r="B596" t="str">
            <v>소켓단관</v>
          </cell>
          <cell r="C596" t="str">
            <v>D=600,L=5.31</v>
          </cell>
          <cell r="D596">
            <v>1</v>
          </cell>
          <cell r="E596" t="str">
            <v>EA</v>
          </cell>
        </row>
        <row r="597">
          <cell r="A597">
            <v>41</v>
          </cell>
          <cell r="B597" t="str">
            <v>소켓단관</v>
          </cell>
          <cell r="C597" t="str">
            <v>D=600,L=1.16</v>
          </cell>
          <cell r="D597">
            <v>1</v>
          </cell>
          <cell r="E597" t="str">
            <v>EA</v>
          </cell>
        </row>
        <row r="598">
          <cell r="B598" t="str">
            <v>45도소켓곡관</v>
          </cell>
          <cell r="C598" t="str">
            <v>D=100m/m,M+A형</v>
          </cell>
          <cell r="D598">
            <v>6</v>
          </cell>
          <cell r="E598" t="str">
            <v>EA</v>
          </cell>
        </row>
        <row r="599">
          <cell r="B599" t="str">
            <v>45도소켓곡관</v>
          </cell>
          <cell r="C599" t="str">
            <v>D=150m/m,M+A형</v>
          </cell>
          <cell r="D599">
            <v>4</v>
          </cell>
          <cell r="E599" t="str">
            <v>EA</v>
          </cell>
        </row>
        <row r="600">
          <cell r="B600" t="str">
            <v>45도소켓곡관</v>
          </cell>
          <cell r="C600" t="str">
            <v>D=250m/m,M+A형</v>
          </cell>
          <cell r="D600">
            <v>4</v>
          </cell>
          <cell r="E600" t="str">
            <v>EA</v>
          </cell>
        </row>
        <row r="601">
          <cell r="B601" t="str">
            <v>45도소켓곡관</v>
          </cell>
          <cell r="C601" t="str">
            <v>D=300m/m,M+A형</v>
          </cell>
          <cell r="D601">
            <v>3</v>
          </cell>
          <cell r="E601" t="str">
            <v>EA</v>
          </cell>
        </row>
        <row r="602">
          <cell r="B602" t="str">
            <v>45도소켓곡관</v>
          </cell>
          <cell r="C602" t="str">
            <v>D=350m/m,M+A형</v>
          </cell>
          <cell r="D602">
            <v>1</v>
          </cell>
          <cell r="E602" t="str">
            <v>EA</v>
          </cell>
        </row>
        <row r="603">
          <cell r="B603" t="str">
            <v>45도소켓곡관</v>
          </cell>
          <cell r="C603" t="str">
            <v>D=400m/m,M+A형</v>
          </cell>
          <cell r="D603">
            <v>4</v>
          </cell>
          <cell r="E603" t="str">
            <v>EA</v>
          </cell>
        </row>
        <row r="604">
          <cell r="B604" t="str">
            <v>45도소켓곡관</v>
          </cell>
          <cell r="C604" t="str">
            <v>D=500m/m,M+A형</v>
          </cell>
          <cell r="D604">
            <v>2</v>
          </cell>
          <cell r="E604" t="str">
            <v>EA</v>
          </cell>
        </row>
        <row r="605">
          <cell r="B605" t="str">
            <v>45도소켓곡관</v>
          </cell>
          <cell r="C605" t="str">
            <v>D=600m/m,M+A형</v>
          </cell>
          <cell r="D605">
            <v>1</v>
          </cell>
          <cell r="E605" t="str">
            <v>EA</v>
          </cell>
        </row>
        <row r="606">
          <cell r="B606" t="str">
            <v>45도소켓곡관</v>
          </cell>
          <cell r="C606" t="str">
            <v>D=100m/m,M+B형</v>
          </cell>
          <cell r="D606">
            <v>4</v>
          </cell>
          <cell r="E606" t="str">
            <v>EA</v>
          </cell>
        </row>
        <row r="607">
          <cell r="B607" t="str">
            <v>45도소켓곡관</v>
          </cell>
          <cell r="C607" t="str">
            <v>D=150m/m,M+B형</v>
          </cell>
          <cell r="D607">
            <v>6</v>
          </cell>
          <cell r="E607" t="str">
            <v>EA</v>
          </cell>
        </row>
        <row r="608">
          <cell r="B608" t="str">
            <v>45도소켓곡관</v>
          </cell>
          <cell r="C608" t="str">
            <v>D=250m/m,M+B형</v>
          </cell>
          <cell r="D608">
            <v>14</v>
          </cell>
          <cell r="E608" t="str">
            <v>EA</v>
          </cell>
        </row>
        <row r="609">
          <cell r="B609" t="str">
            <v>45도소켓곡관</v>
          </cell>
          <cell r="C609" t="str">
            <v>D=300m/m,M+B형</v>
          </cell>
          <cell r="D609">
            <v>2</v>
          </cell>
          <cell r="E609" t="str">
            <v>EA</v>
          </cell>
        </row>
        <row r="610">
          <cell r="B610" t="str">
            <v>45도소켓곡관</v>
          </cell>
          <cell r="C610" t="str">
            <v>D=350m/m,M+B형</v>
          </cell>
          <cell r="D610">
            <v>1</v>
          </cell>
          <cell r="E610" t="str">
            <v>EA</v>
          </cell>
        </row>
        <row r="611">
          <cell r="B611" t="str">
            <v>45도소켓곡관</v>
          </cell>
          <cell r="C611" t="str">
            <v>D=400m/m,M+B형</v>
          </cell>
          <cell r="D611">
            <v>8</v>
          </cell>
          <cell r="E611" t="str">
            <v>EA</v>
          </cell>
        </row>
        <row r="612">
          <cell r="B612" t="str">
            <v>45도소켓곡관</v>
          </cell>
          <cell r="C612" t="str">
            <v>D=500m/m,M+B형</v>
          </cell>
          <cell r="D612">
            <v>2</v>
          </cell>
          <cell r="E612" t="str">
            <v>EA</v>
          </cell>
        </row>
        <row r="613">
          <cell r="B613" t="str">
            <v>45도소켓곡관</v>
          </cell>
          <cell r="C613" t="str">
            <v>D=600m/m,M+B형</v>
          </cell>
          <cell r="D613">
            <v>1</v>
          </cell>
          <cell r="E613" t="str">
            <v>EA</v>
          </cell>
        </row>
        <row r="614">
          <cell r="A614">
            <v>42</v>
          </cell>
          <cell r="B614" t="str">
            <v>90도소켓곡관</v>
          </cell>
          <cell r="C614" t="str">
            <v>D=400m/m,M+A형</v>
          </cell>
          <cell r="D614">
            <v>1</v>
          </cell>
          <cell r="E614" t="str">
            <v>EA</v>
          </cell>
        </row>
        <row r="615">
          <cell r="B615" t="str">
            <v>90도소켓곡관</v>
          </cell>
          <cell r="C615" t="str">
            <v>D=400m/m,M+B형</v>
          </cell>
          <cell r="D615">
            <v>2</v>
          </cell>
          <cell r="E615" t="str">
            <v>EA</v>
          </cell>
        </row>
        <row r="616">
          <cell r="B616" t="str">
            <v>90도소켓곡관</v>
          </cell>
          <cell r="C616" t="str">
            <v>D=250m/m,M+B형</v>
          </cell>
          <cell r="D616">
            <v>2</v>
          </cell>
          <cell r="E616" t="str">
            <v>EA</v>
          </cell>
        </row>
        <row r="617">
          <cell r="B617" t="str">
            <v>1125도소켓곡관</v>
          </cell>
          <cell r="C617" t="str">
            <v>D=100m/m,M+B형</v>
          </cell>
          <cell r="D617">
            <v>2</v>
          </cell>
          <cell r="E617" t="str">
            <v>EA</v>
          </cell>
        </row>
        <row r="618">
          <cell r="B618" t="str">
            <v>Y형관</v>
          </cell>
          <cell r="C618" t="str">
            <v>D=300m/m,M+A형</v>
          </cell>
          <cell r="D618">
            <v>1</v>
          </cell>
          <cell r="E618" t="str">
            <v>EA</v>
          </cell>
        </row>
        <row r="619">
          <cell r="B619" t="str">
            <v>무수단관</v>
          </cell>
          <cell r="C619" t="str">
            <v>D=100,L=3.78</v>
          </cell>
          <cell r="D619">
            <v>2</v>
          </cell>
          <cell r="E619" t="str">
            <v>EA</v>
          </cell>
        </row>
        <row r="620">
          <cell r="B620" t="str">
            <v>무수단관</v>
          </cell>
          <cell r="C620" t="str">
            <v>D=100,L=0.669</v>
          </cell>
          <cell r="D620">
            <v>2</v>
          </cell>
          <cell r="E620" t="str">
            <v>EA</v>
          </cell>
        </row>
        <row r="621">
          <cell r="B621" t="str">
            <v>무수단관</v>
          </cell>
          <cell r="C621" t="str">
            <v>D=150,L=1.194</v>
          </cell>
          <cell r="D621">
            <v>1</v>
          </cell>
          <cell r="E621" t="str">
            <v>EA</v>
          </cell>
        </row>
        <row r="622">
          <cell r="B622" t="str">
            <v>무수단관</v>
          </cell>
          <cell r="C622" t="str">
            <v>D=150,L=3.025</v>
          </cell>
          <cell r="D622">
            <v>1</v>
          </cell>
          <cell r="E622" t="str">
            <v>EA</v>
          </cell>
        </row>
        <row r="623">
          <cell r="B623" t="str">
            <v>무수단관</v>
          </cell>
          <cell r="C623" t="str">
            <v>D=150,L=2.608</v>
          </cell>
          <cell r="D623">
            <v>1</v>
          </cell>
          <cell r="E623" t="str">
            <v>EA</v>
          </cell>
        </row>
        <row r="624">
          <cell r="B624" t="str">
            <v>무수단관</v>
          </cell>
          <cell r="C624" t="str">
            <v>D=150,L=2.58</v>
          </cell>
          <cell r="D624">
            <v>1</v>
          </cell>
          <cell r="E624" t="str">
            <v>EA</v>
          </cell>
        </row>
        <row r="625">
          <cell r="B625" t="str">
            <v>무수단관</v>
          </cell>
          <cell r="C625" t="str">
            <v>D=150,L=1.194</v>
          </cell>
          <cell r="D625">
            <v>1</v>
          </cell>
          <cell r="E625" t="str">
            <v>EA</v>
          </cell>
        </row>
        <row r="626">
          <cell r="B626" t="str">
            <v>무수단관</v>
          </cell>
          <cell r="C626" t="str">
            <v>D=250,L=0.291</v>
          </cell>
          <cell r="D626">
            <v>2</v>
          </cell>
          <cell r="E626" t="str">
            <v>EA</v>
          </cell>
        </row>
        <row r="627">
          <cell r="B627" t="str">
            <v>무수단관</v>
          </cell>
          <cell r="C627" t="str">
            <v>D=250,L=3.225</v>
          </cell>
          <cell r="D627">
            <v>2</v>
          </cell>
          <cell r="E627" t="str">
            <v>EA</v>
          </cell>
        </row>
        <row r="628">
          <cell r="B628" t="str">
            <v>무수단관</v>
          </cell>
          <cell r="C628" t="str">
            <v>D=250,L=1.00</v>
          </cell>
          <cell r="D628">
            <v>2</v>
          </cell>
          <cell r="E628" t="str">
            <v>EA</v>
          </cell>
        </row>
        <row r="629">
          <cell r="B629" t="str">
            <v>무수단관</v>
          </cell>
          <cell r="C629" t="str">
            <v>D=300,L=1.064</v>
          </cell>
          <cell r="D629">
            <v>2</v>
          </cell>
          <cell r="E629" t="str">
            <v>EA</v>
          </cell>
        </row>
        <row r="630">
          <cell r="B630" t="str">
            <v>무수단관</v>
          </cell>
          <cell r="C630" t="str">
            <v>D=300,L=1.00</v>
          </cell>
          <cell r="D630">
            <v>1</v>
          </cell>
          <cell r="E630" t="str">
            <v>EA</v>
          </cell>
        </row>
        <row r="631">
          <cell r="A631">
            <v>43</v>
          </cell>
          <cell r="B631" t="str">
            <v>무수단관</v>
          </cell>
          <cell r="C631" t="str">
            <v>D=300,L=0.617</v>
          </cell>
          <cell r="D631">
            <v>1</v>
          </cell>
          <cell r="E631" t="str">
            <v>EA</v>
          </cell>
        </row>
        <row r="632">
          <cell r="B632" t="str">
            <v>무수단관</v>
          </cell>
          <cell r="C632" t="str">
            <v>D=300,L=3.055</v>
          </cell>
          <cell r="D632">
            <v>1</v>
          </cell>
          <cell r="E632" t="str">
            <v>EA</v>
          </cell>
        </row>
        <row r="633">
          <cell r="B633" t="str">
            <v>무수단관</v>
          </cell>
          <cell r="C633" t="str">
            <v>D=350,L=1.975</v>
          </cell>
          <cell r="D633">
            <v>1</v>
          </cell>
          <cell r="E633" t="str">
            <v>EA</v>
          </cell>
        </row>
        <row r="634">
          <cell r="B634" t="str">
            <v>무수단관</v>
          </cell>
          <cell r="C634" t="str">
            <v>D=100,L=3.47</v>
          </cell>
          <cell r="D634">
            <v>2</v>
          </cell>
          <cell r="E634" t="str">
            <v>EA</v>
          </cell>
        </row>
        <row r="635">
          <cell r="B635" t="str">
            <v>무수단관</v>
          </cell>
          <cell r="C635" t="str">
            <v>D=400,L=3.352</v>
          </cell>
          <cell r="D635">
            <v>2</v>
          </cell>
          <cell r="E635" t="str">
            <v>EA</v>
          </cell>
        </row>
        <row r="636">
          <cell r="B636" t="str">
            <v>무수단관</v>
          </cell>
          <cell r="C636" t="str">
            <v>D=400,L=1.045</v>
          </cell>
          <cell r="D636">
            <v>2</v>
          </cell>
          <cell r="E636" t="str">
            <v>EA</v>
          </cell>
        </row>
        <row r="637">
          <cell r="B637" t="str">
            <v>무수단관</v>
          </cell>
          <cell r="C637" t="str">
            <v>D=400,L=0.50</v>
          </cell>
          <cell r="D637">
            <v>2</v>
          </cell>
          <cell r="E637" t="str">
            <v>EA</v>
          </cell>
        </row>
        <row r="638">
          <cell r="B638" t="str">
            <v>무수단관</v>
          </cell>
          <cell r="C638" t="str">
            <v>D=500,L=3.642</v>
          </cell>
          <cell r="D638">
            <v>1</v>
          </cell>
          <cell r="E638" t="str">
            <v>EA</v>
          </cell>
        </row>
        <row r="639">
          <cell r="B639" t="str">
            <v>무수단관</v>
          </cell>
          <cell r="C639" t="str">
            <v>D=500,L=1.167</v>
          </cell>
          <cell r="D639">
            <v>1</v>
          </cell>
          <cell r="E639" t="str">
            <v>EA</v>
          </cell>
        </row>
        <row r="640">
          <cell r="B640" t="str">
            <v>무수단관</v>
          </cell>
          <cell r="C640" t="str">
            <v>D=600,L=0.794</v>
          </cell>
          <cell r="D640">
            <v>1</v>
          </cell>
          <cell r="E640" t="str">
            <v>EA</v>
          </cell>
        </row>
        <row r="641">
          <cell r="B641" t="str">
            <v>직관</v>
          </cell>
          <cell r="C641" t="str">
            <v>D=100,L=5.00</v>
          </cell>
          <cell r="D641">
            <v>5</v>
          </cell>
          <cell r="E641" t="str">
            <v>EA</v>
          </cell>
        </row>
        <row r="642">
          <cell r="B642" t="str">
            <v>직관</v>
          </cell>
          <cell r="C642" t="str">
            <v>D=150,L=5.00</v>
          </cell>
          <cell r="D642">
            <v>3</v>
          </cell>
          <cell r="E642" t="str">
            <v>EA</v>
          </cell>
        </row>
        <row r="643">
          <cell r="B643" t="str">
            <v>직관</v>
          </cell>
          <cell r="C643" t="str">
            <v>D=250,L=6.00</v>
          </cell>
          <cell r="D643">
            <v>6</v>
          </cell>
          <cell r="E643" t="str">
            <v>EA</v>
          </cell>
        </row>
        <row r="644">
          <cell r="B644" t="str">
            <v>직관</v>
          </cell>
          <cell r="C644" t="str">
            <v>D=300,L=6.00</v>
          </cell>
          <cell r="D644">
            <v>3</v>
          </cell>
          <cell r="E644" t="str">
            <v>EA</v>
          </cell>
        </row>
        <row r="645">
          <cell r="B645" t="str">
            <v>직관</v>
          </cell>
          <cell r="C645" t="str">
            <v>D=350,L=6.00</v>
          </cell>
          <cell r="D645">
            <v>5</v>
          </cell>
          <cell r="E645" t="str">
            <v>EA</v>
          </cell>
        </row>
        <row r="646">
          <cell r="B646" t="str">
            <v>직관</v>
          </cell>
          <cell r="C646" t="str">
            <v>D=400,L=6.00</v>
          </cell>
          <cell r="D646">
            <v>15</v>
          </cell>
          <cell r="E646" t="str">
            <v>EA</v>
          </cell>
        </row>
        <row r="647">
          <cell r="B647" t="str">
            <v>직관</v>
          </cell>
          <cell r="C647" t="str">
            <v>D=500,L=6.00</v>
          </cell>
          <cell r="D647">
            <v>2</v>
          </cell>
          <cell r="E647" t="str">
            <v>EA</v>
          </cell>
        </row>
        <row r="648">
          <cell r="A648">
            <v>44</v>
          </cell>
          <cell r="B648" t="str">
            <v>직관</v>
          </cell>
          <cell r="C648" t="str">
            <v>D=600,L=6.00</v>
          </cell>
          <cell r="D648">
            <v>4</v>
          </cell>
          <cell r="E648" t="str">
            <v>EA</v>
          </cell>
        </row>
        <row r="649">
          <cell r="B649" t="str">
            <v>STS플랜지단관</v>
          </cell>
          <cell r="C649" t="str">
            <v>D=200,L=0.80</v>
          </cell>
          <cell r="D649">
            <v>2</v>
          </cell>
          <cell r="E649" t="str">
            <v>EA</v>
          </cell>
        </row>
        <row r="650">
          <cell r="B650" t="str">
            <v>STS곡관</v>
          </cell>
          <cell r="C650" t="str">
            <v>200*90</v>
          </cell>
          <cell r="D650">
            <v>4</v>
          </cell>
          <cell r="E650" t="str">
            <v>EA</v>
          </cell>
        </row>
        <row r="651">
          <cell r="B651" t="str">
            <v>소켓단관</v>
          </cell>
          <cell r="C651" t="str">
            <v>D=250,L=0.250</v>
          </cell>
          <cell r="D651">
            <v>2</v>
          </cell>
          <cell r="E651" t="str">
            <v>EA</v>
          </cell>
        </row>
        <row r="652">
          <cell r="B652" t="str">
            <v>소켓단관</v>
          </cell>
          <cell r="C652" t="str">
            <v>D=250,L=3.065</v>
          </cell>
          <cell r="D652">
            <v>2</v>
          </cell>
          <cell r="E652" t="str">
            <v>EA</v>
          </cell>
        </row>
        <row r="653">
          <cell r="B653" t="str">
            <v>소켓단관</v>
          </cell>
          <cell r="C653" t="str">
            <v>D=250,L=5.847</v>
          </cell>
          <cell r="D653">
            <v>1</v>
          </cell>
          <cell r="E653" t="str">
            <v>EA</v>
          </cell>
        </row>
        <row r="654">
          <cell r="B654" t="str">
            <v>무수단관</v>
          </cell>
          <cell r="C654" t="str">
            <v>D=250,L=5.847</v>
          </cell>
          <cell r="E654" t="str">
            <v>EA</v>
          </cell>
        </row>
        <row r="655">
          <cell r="B655" t="str">
            <v>양플렌지단관</v>
          </cell>
          <cell r="C655" t="str">
            <v>D=250,L=5.847</v>
          </cell>
          <cell r="E655" t="str">
            <v>EA</v>
          </cell>
        </row>
        <row r="656">
          <cell r="B656" t="str">
            <v>무수단관</v>
          </cell>
          <cell r="C656" t="str">
            <v>D=250,L=5.847</v>
          </cell>
          <cell r="E656" t="str">
            <v>EA</v>
          </cell>
        </row>
        <row r="657">
          <cell r="B657" t="str">
            <v>소켓단관</v>
          </cell>
          <cell r="C657" t="str">
            <v>D=250,L=5.847</v>
          </cell>
          <cell r="E657" t="str">
            <v>EA</v>
          </cell>
        </row>
        <row r="658">
          <cell r="B658" t="str">
            <v>소켓단관</v>
          </cell>
          <cell r="C658" t="str">
            <v>D=250,L=5.847</v>
          </cell>
          <cell r="E658" t="str">
            <v>EA</v>
          </cell>
        </row>
        <row r="659">
          <cell r="B659" t="str">
            <v>양플렌지단관</v>
          </cell>
          <cell r="C659" t="str">
            <v>D=250,L=5.847</v>
          </cell>
          <cell r="E659" t="str">
            <v>EA</v>
          </cell>
        </row>
        <row r="660">
          <cell r="B660" t="str">
            <v>소켓단관</v>
          </cell>
          <cell r="C660" t="str">
            <v>D=250,L=5.847</v>
          </cell>
          <cell r="E660" t="str">
            <v>EA</v>
          </cell>
        </row>
        <row r="661">
          <cell r="B661" t="str">
            <v>1125도소켓곡관</v>
          </cell>
          <cell r="C661" t="str">
            <v>D=250,L=5.847</v>
          </cell>
          <cell r="E661" t="str">
            <v>EA</v>
          </cell>
        </row>
        <row r="662">
          <cell r="B662" t="str">
            <v>*관급자재비</v>
          </cell>
        </row>
        <row r="663">
          <cell r="B663" t="str">
            <v>시멘트</v>
          </cell>
          <cell r="D663">
            <v>323</v>
          </cell>
          <cell r="E663" t="str">
            <v>대</v>
          </cell>
        </row>
        <row r="664">
          <cell r="B664" t="str">
            <v>철근</v>
          </cell>
          <cell r="C664" t="str">
            <v>D13</v>
          </cell>
          <cell r="D664">
            <v>62.883000000000003</v>
          </cell>
          <cell r="E664" t="str">
            <v>TON</v>
          </cell>
        </row>
        <row r="665">
          <cell r="B665" t="str">
            <v>철근</v>
          </cell>
          <cell r="C665" t="str">
            <v>D16</v>
          </cell>
          <cell r="D665">
            <v>147.05099999999999</v>
          </cell>
          <cell r="E665" t="str">
            <v>TON</v>
          </cell>
        </row>
        <row r="666">
          <cell r="B666" t="str">
            <v>철근</v>
          </cell>
          <cell r="C666" t="str">
            <v>D19</v>
          </cell>
          <cell r="D666">
            <v>153.059</v>
          </cell>
          <cell r="E666" t="str">
            <v>TON</v>
          </cell>
        </row>
        <row r="667">
          <cell r="B667" t="str">
            <v>철근</v>
          </cell>
          <cell r="C667" t="str">
            <v>D22</v>
          </cell>
          <cell r="D667">
            <v>70.275000000000006</v>
          </cell>
          <cell r="E667" t="str">
            <v>TON</v>
          </cell>
        </row>
        <row r="668">
          <cell r="B668" t="str">
            <v>철근</v>
          </cell>
          <cell r="C668" t="str">
            <v>D25</v>
          </cell>
          <cell r="D668">
            <v>6.6689999999999996</v>
          </cell>
          <cell r="E668" t="str">
            <v>TON</v>
          </cell>
        </row>
        <row r="669">
          <cell r="B669" t="str">
            <v>레미콘</v>
          </cell>
          <cell r="C669" t="str">
            <v>40-135-8</v>
          </cell>
          <cell r="D669">
            <v>381</v>
          </cell>
          <cell r="E669" t="str">
            <v>m3</v>
          </cell>
        </row>
        <row r="670">
          <cell r="B670" t="str">
            <v>레미콘</v>
          </cell>
          <cell r="C670" t="str">
            <v>25-180-8</v>
          </cell>
          <cell r="D670">
            <v>280</v>
          </cell>
          <cell r="E670" t="str">
            <v>m3</v>
          </cell>
        </row>
        <row r="671">
          <cell r="B671" t="str">
            <v>레미콘</v>
          </cell>
          <cell r="C671" t="str">
            <v>25-210-8</v>
          </cell>
          <cell r="D671">
            <v>16</v>
          </cell>
          <cell r="E671" t="str">
            <v>m3</v>
          </cell>
        </row>
        <row r="672">
          <cell r="B672" t="str">
            <v>레미콘</v>
          </cell>
          <cell r="C672" t="str">
            <v>40-210-8</v>
          </cell>
          <cell r="D672">
            <v>71</v>
          </cell>
          <cell r="E672" t="str">
            <v>m3</v>
          </cell>
        </row>
        <row r="673">
          <cell r="B673" t="str">
            <v>레미콘</v>
          </cell>
          <cell r="C673" t="str">
            <v>25-240-8</v>
          </cell>
          <cell r="D673">
            <v>4044</v>
          </cell>
          <cell r="E673" t="str">
            <v>m3</v>
          </cell>
        </row>
        <row r="674">
          <cell r="B674" t="str">
            <v>흄관(칼라제외)</v>
          </cell>
          <cell r="C674" t="str">
            <v>D=250M/M</v>
          </cell>
          <cell r="D674">
            <v>62</v>
          </cell>
          <cell r="E674" t="str">
            <v>본</v>
          </cell>
        </row>
        <row r="675">
          <cell r="B675" t="str">
            <v>흄관(칼라제외)</v>
          </cell>
          <cell r="C675" t="str">
            <v>D=300M/M</v>
          </cell>
          <cell r="D675">
            <v>15</v>
          </cell>
          <cell r="E675" t="str">
            <v>본</v>
          </cell>
        </row>
        <row r="676">
          <cell r="B676" t="str">
            <v>흄관(칼라제외)</v>
          </cell>
          <cell r="C676" t="str">
            <v>D=450M/M</v>
          </cell>
          <cell r="D676">
            <v>229</v>
          </cell>
          <cell r="E676" t="str">
            <v>본</v>
          </cell>
        </row>
        <row r="677">
          <cell r="B677" t="str">
            <v>흄관(칼라제외)</v>
          </cell>
          <cell r="C677" t="str">
            <v>D=600M/M</v>
          </cell>
          <cell r="D677">
            <v>38</v>
          </cell>
          <cell r="E677" t="str">
            <v>본</v>
          </cell>
        </row>
        <row r="678">
          <cell r="B678" t="str">
            <v>아스콘</v>
          </cell>
          <cell r="C678" t="str">
            <v>#467</v>
          </cell>
          <cell r="D678">
            <v>1414</v>
          </cell>
          <cell r="E678" t="str">
            <v>TON</v>
          </cell>
        </row>
        <row r="679">
          <cell r="B679" t="str">
            <v>아스콘</v>
          </cell>
          <cell r="C679" t="str">
            <v>#78</v>
          </cell>
          <cell r="D679">
            <v>738</v>
          </cell>
          <cell r="E679" t="str">
            <v>TON</v>
          </cell>
        </row>
        <row r="680">
          <cell r="B680" t="str">
            <v>아스팔트</v>
          </cell>
          <cell r="C680" t="str">
            <v>MC-3</v>
          </cell>
          <cell r="D680">
            <v>25</v>
          </cell>
          <cell r="E680" t="str">
            <v>TON</v>
          </cell>
        </row>
        <row r="681">
          <cell r="B681" t="str">
            <v>아스팔트</v>
          </cell>
          <cell r="C681" t="str">
            <v>RSC-4</v>
          </cell>
          <cell r="D681">
            <v>9</v>
          </cell>
          <cell r="E681" t="str">
            <v>TON</v>
          </cell>
        </row>
        <row r="682">
          <cell r="A682">
            <v>46</v>
          </cell>
          <cell r="B682" t="str">
            <v>보차도경계블럭</v>
          </cell>
          <cell r="C682" t="str">
            <v>180*205*250</v>
          </cell>
          <cell r="D682">
            <v>800</v>
          </cell>
          <cell r="E682" t="str">
            <v>m</v>
          </cell>
        </row>
        <row r="683">
          <cell r="B683" t="str">
            <v>조달수수료</v>
          </cell>
          <cell r="D683">
            <v>1.4</v>
          </cell>
          <cell r="E683" t="str">
            <v>%</v>
          </cell>
        </row>
        <row r="684">
          <cell r="B684" t="str">
            <v>*토취장사용료</v>
          </cell>
          <cell r="C684" t="str">
            <v>토사</v>
          </cell>
          <cell r="D684">
            <v>15625</v>
          </cell>
          <cell r="E684" t="str">
            <v>m3</v>
          </cell>
        </row>
        <row r="699">
          <cell r="A699">
            <v>47</v>
          </cell>
        </row>
        <row r="700">
          <cell r="A700" t="str">
            <v>조경</v>
          </cell>
          <cell r="B700" t="str">
            <v>무안하수종말처리장</v>
          </cell>
        </row>
        <row r="701">
          <cell r="B701" t="str">
            <v>1)식재공사</v>
          </cell>
        </row>
        <row r="702">
          <cell r="B702" t="str">
            <v>2)시설물공사</v>
          </cell>
        </row>
        <row r="703">
          <cell r="B703" t="str">
            <v>3)부대공사</v>
          </cell>
        </row>
        <row r="705">
          <cell r="B705" t="str">
            <v>계</v>
          </cell>
        </row>
        <row r="716">
          <cell r="A716">
            <v>49</v>
          </cell>
        </row>
        <row r="717">
          <cell r="B717" t="str">
            <v>무안하수종말처리장</v>
          </cell>
        </row>
        <row r="720">
          <cell r="B720" t="str">
            <v>1)식재공사</v>
          </cell>
        </row>
        <row r="721">
          <cell r="B721" t="str">
            <v>소나무</v>
          </cell>
          <cell r="C721" t="str">
            <v>H 4.0 X R 15</v>
          </cell>
          <cell r="D721">
            <v>10</v>
          </cell>
          <cell r="E721" t="str">
            <v>주</v>
          </cell>
        </row>
        <row r="722">
          <cell r="B722" t="str">
            <v>소나무</v>
          </cell>
          <cell r="C722" t="str">
            <v>H 3.0 X R 10</v>
          </cell>
          <cell r="D722">
            <v>16</v>
          </cell>
          <cell r="E722" t="str">
            <v>주</v>
          </cell>
        </row>
        <row r="723">
          <cell r="B723" t="str">
            <v>스트로브잣</v>
          </cell>
          <cell r="C723" t="str">
            <v>H 3.0 X W 1.0</v>
          </cell>
          <cell r="D723">
            <v>115</v>
          </cell>
          <cell r="E723" t="str">
            <v>주</v>
          </cell>
        </row>
        <row r="724">
          <cell r="B724" t="str">
            <v>측백나무</v>
          </cell>
          <cell r="C724" t="str">
            <v>H 3.0 X W 1.0</v>
          </cell>
          <cell r="D724">
            <v>127</v>
          </cell>
          <cell r="E724" t="str">
            <v>주</v>
          </cell>
        </row>
        <row r="725">
          <cell r="B725" t="str">
            <v>해 송</v>
          </cell>
          <cell r="C725" t="str">
            <v>H 3.0 X W 1.0</v>
          </cell>
          <cell r="D725">
            <v>129</v>
          </cell>
          <cell r="E725" t="str">
            <v>주</v>
          </cell>
        </row>
        <row r="726">
          <cell r="B726" t="str">
            <v>후박나무</v>
          </cell>
          <cell r="C726" t="str">
            <v>H 2.5 X R 4</v>
          </cell>
          <cell r="D726">
            <v>27</v>
          </cell>
          <cell r="E726" t="str">
            <v>주</v>
          </cell>
        </row>
        <row r="727">
          <cell r="B727" t="str">
            <v>가시나무</v>
          </cell>
          <cell r="C727" t="str">
            <v>H 2.0 X R 4</v>
          </cell>
          <cell r="D727">
            <v>40</v>
          </cell>
          <cell r="E727" t="str">
            <v>주</v>
          </cell>
        </row>
        <row r="728">
          <cell r="B728" t="str">
            <v>동백나무</v>
          </cell>
          <cell r="C728" t="str">
            <v>H 1.5 X W 0.6</v>
          </cell>
          <cell r="D728">
            <v>64</v>
          </cell>
          <cell r="E728" t="str">
            <v>주</v>
          </cell>
        </row>
        <row r="729">
          <cell r="B729" t="str">
            <v>느티나무</v>
          </cell>
          <cell r="C729" t="str">
            <v>H 4.0 X R 12</v>
          </cell>
          <cell r="D729">
            <v>32</v>
          </cell>
          <cell r="E729" t="str">
            <v>주</v>
          </cell>
        </row>
        <row r="730">
          <cell r="B730" t="str">
            <v>청단풍</v>
          </cell>
          <cell r="C730" t="str">
            <v>H 2.0 X R 6</v>
          </cell>
          <cell r="D730">
            <v>24</v>
          </cell>
          <cell r="E730" t="str">
            <v>주</v>
          </cell>
        </row>
        <row r="731">
          <cell r="B731" t="str">
            <v>매타세콰이어</v>
          </cell>
          <cell r="C731" t="str">
            <v>H 3.0 X R 6</v>
          </cell>
          <cell r="D731">
            <v>55</v>
          </cell>
          <cell r="E731" t="str">
            <v>주</v>
          </cell>
        </row>
        <row r="732">
          <cell r="B732" t="str">
            <v>목련</v>
          </cell>
          <cell r="C732" t="str">
            <v>H 3.0 X R 10</v>
          </cell>
          <cell r="D732">
            <v>10</v>
          </cell>
          <cell r="E732" t="str">
            <v>주</v>
          </cell>
        </row>
        <row r="733">
          <cell r="B733" t="str">
            <v>모과나무</v>
          </cell>
          <cell r="C733" t="str">
            <v>H 3.0 X R 8</v>
          </cell>
          <cell r="D733">
            <v>9</v>
          </cell>
          <cell r="E733" t="str">
            <v>주</v>
          </cell>
        </row>
        <row r="734">
          <cell r="B734" t="str">
            <v>배롱나무</v>
          </cell>
          <cell r="C734" t="str">
            <v>H 2.5 X R 7</v>
          </cell>
          <cell r="D734">
            <v>21</v>
          </cell>
          <cell r="E734" t="str">
            <v>주</v>
          </cell>
        </row>
        <row r="735">
          <cell r="B735" t="str">
            <v>광나무</v>
          </cell>
          <cell r="C735" t="str">
            <v>H 1.0 X W 0.3</v>
          </cell>
          <cell r="D735">
            <v>1120</v>
          </cell>
          <cell r="E735" t="str">
            <v>주</v>
          </cell>
        </row>
        <row r="736">
          <cell r="B736" t="str">
            <v>회양목</v>
          </cell>
          <cell r="C736" t="str">
            <v>H 0.3 X W 0.3</v>
          </cell>
          <cell r="D736">
            <v>952</v>
          </cell>
          <cell r="E736" t="str">
            <v>주</v>
          </cell>
        </row>
        <row r="737">
          <cell r="B737" t="str">
            <v>수수꽂다리</v>
          </cell>
          <cell r="C737" t="str">
            <v>H 2.0 X W 1.0</v>
          </cell>
          <cell r="D737">
            <v>51</v>
          </cell>
          <cell r="E737" t="str">
            <v>주</v>
          </cell>
        </row>
        <row r="738">
          <cell r="B738" t="str">
            <v>산철쭉</v>
          </cell>
          <cell r="C738" t="str">
            <v>H 0.4 X W 0.3</v>
          </cell>
          <cell r="D738">
            <v>1180</v>
          </cell>
          <cell r="E738" t="str">
            <v>주</v>
          </cell>
        </row>
        <row r="739">
          <cell r="B739" t="str">
            <v>잔 듸</v>
          </cell>
          <cell r="C739" t="str">
            <v>0.3x0.3x0.03</v>
          </cell>
          <cell r="D739">
            <v>10331</v>
          </cell>
          <cell r="E739" t="str">
            <v>m2</v>
          </cell>
        </row>
        <row r="740">
          <cell r="B740" t="str">
            <v>지주목(이각)</v>
          </cell>
          <cell r="D740">
            <v>40</v>
          </cell>
          <cell r="E740" t="str">
            <v>조</v>
          </cell>
        </row>
        <row r="741">
          <cell r="B741" t="str">
            <v>지주목(삼발이)</v>
          </cell>
          <cell r="C741" t="str">
            <v>소형</v>
          </cell>
          <cell r="D741">
            <v>533</v>
          </cell>
          <cell r="E741" t="str">
            <v>조</v>
          </cell>
        </row>
        <row r="742">
          <cell r="B742" t="str">
            <v>지주목(삼발이)</v>
          </cell>
          <cell r="C742" t="str">
            <v>대형</v>
          </cell>
          <cell r="D742">
            <v>46</v>
          </cell>
          <cell r="E742" t="str">
            <v>조</v>
          </cell>
        </row>
        <row r="743">
          <cell r="B743" t="str">
            <v>소  계</v>
          </cell>
        </row>
        <row r="750">
          <cell r="A750">
            <v>51</v>
          </cell>
        </row>
        <row r="751">
          <cell r="B751" t="str">
            <v>2)시설물공사</v>
          </cell>
        </row>
        <row r="752">
          <cell r="B752" t="str">
            <v>파고라</v>
          </cell>
          <cell r="C752" t="str">
            <v>5,200 x 5,200</v>
          </cell>
          <cell r="D752">
            <v>3</v>
          </cell>
          <cell r="E752" t="str">
            <v>개소</v>
          </cell>
        </row>
        <row r="753">
          <cell r="B753" t="str">
            <v>팽의자</v>
          </cell>
          <cell r="C753" t="str">
            <v>HW 2-2-1</v>
          </cell>
          <cell r="D753">
            <v>12</v>
          </cell>
          <cell r="E753" t="str">
            <v>개소</v>
          </cell>
        </row>
        <row r="754">
          <cell r="B754" t="str">
            <v>등의자</v>
          </cell>
          <cell r="C754" t="str">
            <v>HW 3-1-1</v>
          </cell>
          <cell r="D754">
            <v>4</v>
          </cell>
          <cell r="E754" t="str">
            <v>개소</v>
          </cell>
        </row>
        <row r="755">
          <cell r="B755" t="str">
            <v>휴지통</v>
          </cell>
          <cell r="D755">
            <v>2</v>
          </cell>
          <cell r="E755" t="str">
            <v>개소</v>
          </cell>
        </row>
        <row r="756">
          <cell r="B756" t="str">
            <v>소  계</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80430"/>
      <sheetName val="980731"/>
      <sheetName val="990731"/>
      <sheetName val="000930"/>
      <sheetName val="010101"/>
      <sheetName val="인원비교요약표1월"/>
      <sheetName val="010801"/>
      <sheetName val="인원비교요약표8월"/>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
      <sheetName val="MAIN"/>
      <sheetName val="【The FIVE】"/>
      <sheetName val="워렌킴"/>
      <sheetName val="투자격언"/>
      <sheetName val="경제용어"/>
      <sheetName val="투자조언"/>
      <sheetName val="반도체종류별비교"/>
      <sheetName val="말씀암송"/>
      <sheetName val="투자공부"/>
      <sheetName val="경제일정"/>
      <sheetName val="주요ISSUE"/>
      <sheetName val="독서관리"/>
      <sheetName val="독서FORM"/>
      <sheetName val="Archive"/>
      <sheetName val="자산배분"/>
      <sheetName val="VISION"/>
      <sheetName val="2026-001"/>
      <sheetName val="2026-002"/>
      <sheetName val="2026-003"/>
      <sheetName val="2026-004"/>
      <sheetName val="RAW"/>
      <sheetName val="입금출금"/>
      <sheetName val="주식거래"/>
      <sheetName val="종목관리"/>
      <sheetName val="차트조회"/>
      <sheetName val="팔란티어"/>
      <sheetName val="엔비디아"/>
      <sheetName val="TSMC"/>
      <sheetName val="하이닉스"/>
      <sheetName val="STOCKFORM"/>
      <sheetName val="2026-005"/>
      <sheetName val="2026-006"/>
      <sheetName val="2026-007"/>
      <sheetName val="2026-008"/>
      <sheetName val="2026-009"/>
      <sheetName val="2026-010"/>
      <sheetName val="2026-011"/>
      <sheetName val="GLD"/>
      <sheetName val="GE버노바"/>
      <sheetName val="반도체3배"/>
      <sheetName val="마소"/>
      <sheetName val="블룸"/>
      <sheetName val="AST"/>
      <sheetName val="현대차"/>
      <sheetName val="현대"/>
      <sheetName val="샌디스크"/>
      <sheetName val="APPLE"/>
      <sheetName val="알파벳A"/>
      <sheetName val="브로드컴"/>
      <sheetName val="APPLEQ"/>
      <sheetName val="LG전자"/>
      <sheetName val="일라이릴리"/>
      <sheetName val="레모네이드"/>
      <sheetName val="삼성전자"/>
      <sheetName val="TIGER"/>
      <sheetName val="마이크론"/>
      <sheetName val="TSLA"/>
      <sheetName val="FORM"/>
      <sheetName val="settingB"/>
      <sheetName val="settingA"/>
      <sheetName val="GOLD"/>
      <sheetName val="원달러"/>
      <sheetName val="달러인덱스"/>
      <sheetName val="나스닥"/>
      <sheetName val="코스피"/>
      <sheetName val="다우존스"/>
      <sheetName val="S"/>
      <sheetName val="VIX"/>
      <sheetName val="러셀"/>
      <sheetName val="국채"/>
      <sheetName val="유가(BRN)"/>
      <sheetName val="유가(WTI)"/>
      <sheetName val="교회력말씀"/>
      <sheetName val="2026-013"/>
      <sheetName val="관리"/>
      <sheetName val="2026-014"/>
      <sheetName val="2026-016"/>
      <sheetName val="2026-017"/>
      <sheetName val="2026-018"/>
      <sheetName val="2026-019"/>
      <sheetName val="HP"/>
      <sheetName val="DELL"/>
      <sheetName val="로켓랩"/>
      <sheetName val="TSLL"/>
      <sheetName val="SUPER마이크로"/>
      <sheetName val="비나텍"/>
      <sheetName val="아이렌"/>
      <sheetName val="마벨테크"/>
      <sheetName val="ARM"/>
      <sheetName val="TSMX"/>
      <sheetName val="서클"/>
      <sheetName val="QLD"/>
      <sheetName val="스트레티지"/>
      <sheetName val="USD"/>
      <sheetName val="AMD"/>
      <sheetName val="DRAM"/>
      <sheetName val="VCX"/>
      <sheetName val="TIGER방산"/>
      <sheetName val="KODEX_AI전력"/>
      <sheetName val="SNDU"/>
      <sheetName val="LIG디펜스"/>
      <sheetName val="테슬라"/>
      <sheetName val="패브리넷"/>
      <sheetName val="두산에너빌"/>
      <sheetName val="효성중공업"/>
      <sheetName val="한미반도체"/>
      <sheetName val="스트래티지"/>
      <sheetName val="코어위브"/>
      <sheetName val="오라클"/>
      <sheetName val="코히런트"/>
      <sheetName val="인텔"/>
      <sheetName val="씨게이트"/>
      <sheetName val="아마존"/>
      <sheetName val="루멘텀"/>
      <sheetName val="크리도"/>
      <sheetName val="버티브"/>
      <sheetName val="삼성전기"/>
      <sheetName val="티커_RAW"/>
    </sheetNames>
    <sheetDataSet>
      <sheetData sheetId="0"/>
      <sheetData sheetId="1"/>
      <sheetData sheetId="2">
        <row r="33">
          <cell r="BG33" t="str">
            <v>유가(WTI)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9">
          <cell r="N9" t="str">
            <v>종가</v>
          </cell>
        </row>
        <row r="10">
          <cell r="N10">
            <v>4569.8999999999996</v>
          </cell>
        </row>
        <row r="11">
          <cell r="N11">
            <v>4499.3</v>
          </cell>
        </row>
        <row r="12">
          <cell r="N12">
            <v>4447.5</v>
          </cell>
        </row>
        <row r="13">
          <cell r="N13">
            <v>4500.3999999999996</v>
          </cell>
        </row>
        <row r="14">
          <cell r="N14">
            <v>4521</v>
          </cell>
        </row>
        <row r="15">
          <cell r="N15">
            <v>4539.8</v>
          </cell>
        </row>
        <row r="16">
          <cell r="N16">
            <v>4531.3</v>
          </cell>
        </row>
        <row r="17">
          <cell r="N17">
            <v>4506.3</v>
          </cell>
        </row>
        <row r="18">
          <cell r="N18">
            <v>4552.5</v>
          </cell>
        </row>
        <row r="19">
          <cell r="N19">
            <v>4555.8</v>
          </cell>
        </row>
        <row r="20">
          <cell r="N20">
            <v>4678.1000000000004</v>
          </cell>
        </row>
        <row r="21">
          <cell r="N21">
            <v>4697.7</v>
          </cell>
        </row>
        <row r="22">
          <cell r="N22">
            <v>4677.6000000000004</v>
          </cell>
        </row>
        <row r="23">
          <cell r="N23">
            <v>4718.7</v>
          </cell>
        </row>
        <row r="24">
          <cell r="N24">
            <v>4720.3999999999996</v>
          </cell>
        </row>
        <row r="25">
          <cell r="N25">
            <v>4699.8</v>
          </cell>
        </row>
        <row r="26">
          <cell r="N26">
            <v>4681.8999999999996</v>
          </cell>
        </row>
        <row r="27">
          <cell r="N27">
            <v>4555.8</v>
          </cell>
        </row>
        <row r="28">
          <cell r="N28">
            <v>4519.5</v>
          </cell>
        </row>
        <row r="29">
          <cell r="N29">
            <v>4629.8999999999996</v>
          </cell>
        </row>
        <row r="30">
          <cell r="N30">
            <v>4614.7</v>
          </cell>
        </row>
        <row r="31">
          <cell r="N31">
            <v>4545.2</v>
          </cell>
        </row>
      </sheetData>
      <sheetData sheetId="62">
        <row r="9">
          <cell r="N9" t="str">
            <v>종가</v>
          </cell>
        </row>
        <row r="10">
          <cell r="N10">
            <v>1507.13</v>
          </cell>
        </row>
        <row r="11">
          <cell r="N11">
            <v>1495.29</v>
          </cell>
        </row>
        <row r="12">
          <cell r="N12">
            <v>1503.11</v>
          </cell>
        </row>
        <row r="13">
          <cell r="N13">
            <v>1505.44</v>
          </cell>
        </row>
        <row r="14">
          <cell r="N14">
            <v>1514.79</v>
          </cell>
        </row>
        <row r="15">
          <cell r="N15">
            <v>1512.83</v>
          </cell>
        </row>
        <row r="16">
          <cell r="N16">
            <v>1504.4</v>
          </cell>
        </row>
        <row r="17">
          <cell r="N17">
            <v>1499.77</v>
          </cell>
        </row>
        <row r="18">
          <cell r="N18">
            <v>1507.85</v>
          </cell>
        </row>
        <row r="19">
          <cell r="N19">
            <v>1492.32</v>
          </cell>
        </row>
        <row r="20">
          <cell r="N20">
            <v>1497.15</v>
          </cell>
        </row>
        <row r="21">
          <cell r="N21">
            <v>1493.34</v>
          </cell>
        </row>
        <row r="22">
          <cell r="N22">
            <v>1489.84</v>
          </cell>
        </row>
        <row r="23">
          <cell r="N23">
            <v>1492.99</v>
          </cell>
        </row>
        <row r="24">
          <cell r="N24">
            <v>1474.45</v>
          </cell>
        </row>
        <row r="25">
          <cell r="N25">
            <v>1460.55</v>
          </cell>
        </row>
        <row r="26">
          <cell r="N26">
            <v>1454.79</v>
          </cell>
        </row>
        <row r="27">
          <cell r="N27">
            <v>1444.45</v>
          </cell>
        </row>
        <row r="28">
          <cell r="N28">
            <v>1473.96</v>
          </cell>
        </row>
        <row r="29">
          <cell r="N29">
            <v>1476.05</v>
          </cell>
        </row>
        <row r="30">
          <cell r="N30">
            <v>1471.73</v>
          </cell>
        </row>
        <row r="31">
          <cell r="N31">
            <v>1474.01</v>
          </cell>
        </row>
        <row r="32">
          <cell r="N32">
            <v>1487.38</v>
          </cell>
        </row>
        <row r="33">
          <cell r="N33">
            <v>1471.99</v>
          </cell>
        </row>
      </sheetData>
      <sheetData sheetId="63">
        <row r="9">
          <cell r="N9" t="str">
            <v>종가</v>
          </cell>
        </row>
        <row r="10">
          <cell r="N10">
            <v>98.94</v>
          </cell>
        </row>
        <row r="11">
          <cell r="N11">
            <v>99.02</v>
          </cell>
        </row>
        <row r="12">
          <cell r="N12">
            <v>99.21</v>
          </cell>
        </row>
        <row r="13">
          <cell r="N13">
            <v>99.17</v>
          </cell>
        </row>
        <row r="14">
          <cell r="N14">
            <v>99.32</v>
          </cell>
        </row>
        <row r="15">
          <cell r="N15">
            <v>99.19</v>
          </cell>
        </row>
        <row r="16">
          <cell r="N16">
            <v>99.11</v>
          </cell>
        </row>
        <row r="17">
          <cell r="N17">
            <v>99.3</v>
          </cell>
        </row>
        <row r="18">
          <cell r="N18">
            <v>98.97</v>
          </cell>
        </row>
        <row r="19">
          <cell r="N19">
            <v>99.27</v>
          </cell>
        </row>
        <row r="20">
          <cell r="N20">
            <v>98.88</v>
          </cell>
        </row>
        <row r="21">
          <cell r="N21">
            <v>98.48</v>
          </cell>
        </row>
        <row r="22">
          <cell r="N22">
            <v>98.29</v>
          </cell>
        </row>
        <row r="23">
          <cell r="N23">
            <v>97.94</v>
          </cell>
        </row>
        <row r="24">
          <cell r="N24">
            <v>97.84</v>
          </cell>
        </row>
        <row r="25">
          <cell r="N25">
            <v>98.25</v>
          </cell>
        </row>
        <row r="26">
          <cell r="N26">
            <v>98.02</v>
          </cell>
        </row>
        <row r="27">
          <cell r="N27">
            <v>98.48</v>
          </cell>
        </row>
        <row r="28">
          <cell r="N28">
            <v>98.47</v>
          </cell>
        </row>
        <row r="29">
          <cell r="N29">
            <v>98.21</v>
          </cell>
        </row>
        <row r="30">
          <cell r="N30">
            <v>98.08</v>
          </cell>
        </row>
      </sheetData>
      <sheetData sheetId="64">
        <row r="9">
          <cell r="N9" t="str">
            <v>종가</v>
          </cell>
        </row>
        <row r="10">
          <cell r="N10">
            <v>30333.18</v>
          </cell>
        </row>
        <row r="11">
          <cell r="N11">
            <v>30223.89</v>
          </cell>
        </row>
        <row r="12">
          <cell r="N12">
            <v>29973.57</v>
          </cell>
        </row>
        <row r="13">
          <cell r="N13">
            <v>30001.32</v>
          </cell>
        </row>
        <row r="14">
          <cell r="N14">
            <v>29481.64</v>
          </cell>
        </row>
        <row r="15">
          <cell r="N15">
            <v>29357.27</v>
          </cell>
        </row>
        <row r="16">
          <cell r="N16">
            <v>29297.7</v>
          </cell>
        </row>
        <row r="17">
          <cell r="N17">
            <v>28818.84</v>
          </cell>
        </row>
        <row r="18">
          <cell r="N18">
            <v>28994.37</v>
          </cell>
        </row>
        <row r="19">
          <cell r="N19">
            <v>29125.200000000001</v>
          </cell>
        </row>
        <row r="20">
          <cell r="N20">
            <v>29580.3</v>
          </cell>
        </row>
        <row r="21">
          <cell r="N21">
            <v>29366.94</v>
          </cell>
        </row>
        <row r="22">
          <cell r="N22">
            <v>29064.799999999999</v>
          </cell>
        </row>
        <row r="23">
          <cell r="N23">
            <v>29320.66</v>
          </cell>
        </row>
        <row r="24">
          <cell r="N24">
            <v>29234.99</v>
          </cell>
        </row>
        <row r="25">
          <cell r="N25">
            <v>28563.95</v>
          </cell>
        </row>
        <row r="26">
          <cell r="N26">
            <v>28599.17</v>
          </cell>
        </row>
        <row r="27">
          <cell r="N27">
            <v>28015.06</v>
          </cell>
        </row>
        <row r="28">
          <cell r="N28">
            <v>27651.82</v>
          </cell>
        </row>
        <row r="29">
          <cell r="N29">
            <v>27710.36</v>
          </cell>
        </row>
        <row r="30">
          <cell r="N30">
            <v>27452.12</v>
          </cell>
        </row>
        <row r="31">
          <cell r="N31">
            <v>27186.98</v>
          </cell>
        </row>
      </sheetData>
      <sheetData sheetId="65">
        <row r="9">
          <cell r="N9" t="str">
            <v>종가</v>
          </cell>
        </row>
        <row r="10">
          <cell r="N10">
            <v>8185.29</v>
          </cell>
        </row>
        <row r="11">
          <cell r="N11">
            <v>8228.7000000000007</v>
          </cell>
        </row>
        <row r="12">
          <cell r="N12">
            <v>8047.51</v>
          </cell>
        </row>
        <row r="13">
          <cell r="N13">
            <v>7847.71</v>
          </cell>
        </row>
        <row r="14">
          <cell r="N14">
            <v>7815.59</v>
          </cell>
        </row>
        <row r="15">
          <cell r="N15">
            <v>7208.95</v>
          </cell>
        </row>
        <row r="16">
          <cell r="N16">
            <v>7271.66</v>
          </cell>
        </row>
        <row r="17">
          <cell r="N17">
            <v>7516.04</v>
          </cell>
        </row>
        <row r="18">
          <cell r="N18">
            <v>7493.18</v>
          </cell>
        </row>
        <row r="19">
          <cell r="N19">
            <v>7981.41</v>
          </cell>
        </row>
        <row r="20">
          <cell r="N20">
            <v>7844.01</v>
          </cell>
        </row>
        <row r="21">
          <cell r="N21">
            <v>7643.15</v>
          </cell>
        </row>
        <row r="22">
          <cell r="N22">
            <v>7822.24</v>
          </cell>
        </row>
        <row r="23">
          <cell r="N23">
            <v>7498</v>
          </cell>
        </row>
        <row r="24">
          <cell r="N24">
            <v>7490.05</v>
          </cell>
        </row>
        <row r="25">
          <cell r="N25">
            <v>7384.56</v>
          </cell>
        </row>
        <row r="26">
          <cell r="N26">
            <v>6936.99</v>
          </cell>
        </row>
        <row r="27">
          <cell r="N27">
            <v>6598.87</v>
          </cell>
        </row>
      </sheetData>
      <sheetData sheetId="66">
        <row r="9">
          <cell r="N9" t="str">
            <v>종가</v>
          </cell>
        </row>
        <row r="10">
          <cell r="N10">
            <v>51032.46</v>
          </cell>
        </row>
        <row r="11">
          <cell r="N11">
            <v>50668.97</v>
          </cell>
        </row>
        <row r="12">
          <cell r="N12">
            <v>50644.28</v>
          </cell>
        </row>
        <row r="13">
          <cell r="N13">
            <v>50461.68</v>
          </cell>
        </row>
        <row r="14">
          <cell r="N14">
            <v>50579.7</v>
          </cell>
        </row>
        <row r="15">
          <cell r="N15">
            <v>50285.66</v>
          </cell>
        </row>
        <row r="16">
          <cell r="N16">
            <v>50009.35</v>
          </cell>
        </row>
        <row r="17">
          <cell r="N17">
            <v>49363.88</v>
          </cell>
        </row>
        <row r="18">
          <cell r="N18">
            <v>49686.12</v>
          </cell>
        </row>
        <row r="19">
          <cell r="N19">
            <v>49526.17</v>
          </cell>
        </row>
        <row r="20">
          <cell r="N20">
            <v>50063.46</v>
          </cell>
        </row>
        <row r="21">
          <cell r="N21">
            <v>49693.2</v>
          </cell>
        </row>
        <row r="22">
          <cell r="N22">
            <v>49760.56</v>
          </cell>
        </row>
        <row r="23">
          <cell r="N23">
            <v>49704.47</v>
          </cell>
        </row>
        <row r="24">
          <cell r="N24">
            <v>49609.16</v>
          </cell>
        </row>
        <row r="25">
          <cell r="N25">
            <v>49596.97</v>
          </cell>
        </row>
        <row r="26">
          <cell r="N26">
            <v>49910.59</v>
          </cell>
        </row>
        <row r="27">
          <cell r="N27">
            <v>49298.25</v>
          </cell>
        </row>
        <row r="28">
          <cell r="N28">
            <v>48941.9</v>
          </cell>
        </row>
        <row r="29">
          <cell r="N29">
            <v>49499.27</v>
          </cell>
        </row>
        <row r="30">
          <cell r="N30">
            <v>49652.14</v>
          </cell>
        </row>
        <row r="31">
          <cell r="N31">
            <v>48861.81</v>
          </cell>
        </row>
      </sheetData>
      <sheetData sheetId="67">
        <row r="9">
          <cell r="N9" t="str">
            <v>종가</v>
          </cell>
        </row>
        <row r="10">
          <cell r="N10">
            <v>7580.06</v>
          </cell>
        </row>
        <row r="11">
          <cell r="N11">
            <v>7563.63</v>
          </cell>
        </row>
        <row r="12">
          <cell r="N12">
            <v>7520.36</v>
          </cell>
        </row>
        <row r="13">
          <cell r="N13">
            <v>7519.12</v>
          </cell>
        </row>
        <row r="14">
          <cell r="N14">
            <v>7473.47</v>
          </cell>
        </row>
        <row r="15">
          <cell r="N15">
            <v>7445.72</v>
          </cell>
        </row>
        <row r="16">
          <cell r="N16">
            <v>7432.97</v>
          </cell>
        </row>
        <row r="17">
          <cell r="N17">
            <v>7353.61</v>
          </cell>
        </row>
        <row r="18">
          <cell r="N18">
            <v>7403.05</v>
          </cell>
        </row>
        <row r="19">
          <cell r="N19">
            <v>7408.5</v>
          </cell>
        </row>
        <row r="20">
          <cell r="N20">
            <v>7501.24</v>
          </cell>
        </row>
        <row r="21">
          <cell r="N21">
            <v>7444.25</v>
          </cell>
        </row>
        <row r="22">
          <cell r="N22">
            <v>7400.96</v>
          </cell>
        </row>
        <row r="23">
          <cell r="N23">
            <v>7412.84</v>
          </cell>
        </row>
        <row r="24">
          <cell r="N24">
            <v>7398.93</v>
          </cell>
        </row>
        <row r="25">
          <cell r="N25">
            <v>7337.11</v>
          </cell>
        </row>
        <row r="26">
          <cell r="N26">
            <v>7365.12</v>
          </cell>
        </row>
        <row r="27">
          <cell r="N27">
            <v>7259.22</v>
          </cell>
        </row>
        <row r="28">
          <cell r="N28">
            <v>7200.75</v>
          </cell>
        </row>
        <row r="29">
          <cell r="N29">
            <v>7230.12</v>
          </cell>
        </row>
        <row r="30">
          <cell r="N30">
            <v>7209.01</v>
          </cell>
        </row>
        <row r="31">
          <cell r="N31">
            <v>7135.95</v>
          </cell>
        </row>
      </sheetData>
      <sheetData sheetId="68">
        <row r="9">
          <cell r="N9" t="str">
            <v>종가</v>
          </cell>
        </row>
        <row r="10">
          <cell r="N10">
            <v>15.32</v>
          </cell>
        </row>
        <row r="11">
          <cell r="N11">
            <v>15.74</v>
          </cell>
        </row>
        <row r="12">
          <cell r="N12">
            <v>16.29</v>
          </cell>
        </row>
        <row r="13">
          <cell r="N13">
            <v>17.010000000000002</v>
          </cell>
        </row>
        <row r="14">
          <cell r="N14">
            <v>16.59</v>
          </cell>
        </row>
        <row r="15">
          <cell r="N15">
            <v>16.7</v>
          </cell>
        </row>
        <row r="16">
          <cell r="N16">
            <v>16.760000000000002</v>
          </cell>
        </row>
        <row r="17">
          <cell r="N17">
            <v>17.440000000000001</v>
          </cell>
        </row>
        <row r="18">
          <cell r="N18">
            <v>18.059999999999999</v>
          </cell>
        </row>
        <row r="19">
          <cell r="N19">
            <v>17.82</v>
          </cell>
        </row>
        <row r="20">
          <cell r="N20">
            <v>18.43</v>
          </cell>
        </row>
        <row r="21">
          <cell r="N21">
            <v>17.260000000000002</v>
          </cell>
        </row>
        <row r="22">
          <cell r="N22">
            <v>17.87</v>
          </cell>
        </row>
        <row r="23">
          <cell r="N23">
            <v>17.989999999999998</v>
          </cell>
        </row>
        <row r="24">
          <cell r="N24">
            <v>18.38</v>
          </cell>
        </row>
        <row r="25">
          <cell r="N25">
            <v>17.190000000000001</v>
          </cell>
        </row>
        <row r="26">
          <cell r="N26">
            <v>17.079999999999998</v>
          </cell>
        </row>
        <row r="27">
          <cell r="N27">
            <v>17.39</v>
          </cell>
        </row>
        <row r="28">
          <cell r="N28">
            <v>17.38</v>
          </cell>
        </row>
        <row r="29">
          <cell r="N29">
            <v>18.29</v>
          </cell>
        </row>
        <row r="30">
          <cell r="N30">
            <v>16.989999999999998</v>
          </cell>
        </row>
        <row r="31">
          <cell r="N31">
            <v>16.89</v>
          </cell>
        </row>
        <row r="32">
          <cell r="N32">
            <v>18.809999999999999</v>
          </cell>
        </row>
      </sheetData>
      <sheetData sheetId="69">
        <row r="9">
          <cell r="N9" t="str">
            <v>종가</v>
          </cell>
        </row>
        <row r="10">
          <cell r="N10">
            <v>2919.34</v>
          </cell>
        </row>
        <row r="11">
          <cell r="N11">
            <v>2936.57</v>
          </cell>
        </row>
        <row r="12">
          <cell r="N12">
            <v>2919.94</v>
          </cell>
        </row>
        <row r="13">
          <cell r="N13">
            <v>2920.54</v>
          </cell>
        </row>
        <row r="14">
          <cell r="N14">
            <v>2869.23</v>
          </cell>
        </row>
        <row r="15">
          <cell r="N15">
            <v>2843.45</v>
          </cell>
        </row>
        <row r="16">
          <cell r="N16">
            <v>2817.37</v>
          </cell>
        </row>
        <row r="17">
          <cell r="N17">
            <v>2747.07</v>
          </cell>
        </row>
        <row r="18">
          <cell r="N18">
            <v>2775.1</v>
          </cell>
        </row>
        <row r="19">
          <cell r="N19">
            <v>2793.3</v>
          </cell>
        </row>
        <row r="20">
          <cell r="N20">
            <v>2863.09</v>
          </cell>
        </row>
        <row r="21">
          <cell r="N21">
            <v>2843.93</v>
          </cell>
        </row>
        <row r="22">
          <cell r="N22">
            <v>2842.83</v>
          </cell>
        </row>
        <row r="23">
          <cell r="N23">
            <v>2870.64</v>
          </cell>
        </row>
        <row r="24">
          <cell r="N24">
            <v>2861.21</v>
          </cell>
        </row>
        <row r="25">
          <cell r="N25">
            <v>2839.63</v>
          </cell>
        </row>
        <row r="26">
          <cell r="N26">
            <v>2886.77</v>
          </cell>
        </row>
        <row r="27">
          <cell r="N27">
            <v>2845</v>
          </cell>
        </row>
        <row r="28">
          <cell r="N28">
            <v>2796</v>
          </cell>
        </row>
        <row r="29">
          <cell r="N29">
            <v>2812.82</v>
          </cell>
        </row>
        <row r="30">
          <cell r="N30">
            <v>2799.91</v>
          </cell>
        </row>
        <row r="31">
          <cell r="N31">
            <v>2739.47</v>
          </cell>
        </row>
      </sheetData>
      <sheetData sheetId="70">
        <row r="9">
          <cell r="N9" t="str">
            <v>종가</v>
          </cell>
        </row>
        <row r="10">
          <cell r="N10">
            <v>4.45</v>
          </cell>
        </row>
        <row r="11">
          <cell r="N11">
            <v>4.45</v>
          </cell>
        </row>
        <row r="12">
          <cell r="N12">
            <v>4.4800000000000004</v>
          </cell>
        </row>
        <row r="13">
          <cell r="N13">
            <v>4.49</v>
          </cell>
        </row>
        <row r="14">
          <cell r="N14">
            <v>4.5599999999999996</v>
          </cell>
        </row>
        <row r="15">
          <cell r="N15">
            <v>4.59</v>
          </cell>
        </row>
        <row r="16">
          <cell r="N16">
            <v>4.57</v>
          </cell>
        </row>
        <row r="17">
          <cell r="N17">
            <v>4.67</v>
          </cell>
        </row>
        <row r="18">
          <cell r="N18">
            <v>4.62</v>
          </cell>
        </row>
        <row r="19">
          <cell r="N19">
            <v>4.59</v>
          </cell>
        </row>
        <row r="20">
          <cell r="N20">
            <v>4.46</v>
          </cell>
        </row>
        <row r="21">
          <cell r="N21">
            <v>4.4800000000000004</v>
          </cell>
        </row>
        <row r="22">
          <cell r="N22">
            <v>4.46</v>
          </cell>
        </row>
        <row r="23">
          <cell r="N23">
            <v>4.41</v>
          </cell>
        </row>
        <row r="24">
          <cell r="N24">
            <v>4.3600000000000003</v>
          </cell>
        </row>
        <row r="25">
          <cell r="N25">
            <v>4.3899999999999997</v>
          </cell>
        </row>
        <row r="26">
          <cell r="N26">
            <v>4.3600000000000003</v>
          </cell>
        </row>
        <row r="27">
          <cell r="N27">
            <v>4.42</v>
          </cell>
        </row>
        <row r="28">
          <cell r="N28">
            <v>4.45</v>
          </cell>
        </row>
        <row r="29">
          <cell r="N29">
            <v>4.38</v>
          </cell>
        </row>
        <row r="30">
          <cell r="N30">
            <v>4.3899999999999997</v>
          </cell>
        </row>
        <row r="31">
          <cell r="N31">
            <v>4.42</v>
          </cell>
        </row>
      </sheetData>
      <sheetData sheetId="71">
        <row r="9">
          <cell r="N9" t="str">
            <v>종가</v>
          </cell>
        </row>
        <row r="10">
          <cell r="N10">
            <v>103.54</v>
          </cell>
        </row>
        <row r="11">
          <cell r="N11">
            <v>102.58</v>
          </cell>
        </row>
        <row r="12">
          <cell r="N12">
            <v>105.02</v>
          </cell>
        </row>
        <row r="13">
          <cell r="N13">
            <v>111.28</v>
          </cell>
        </row>
        <row r="14">
          <cell r="N14">
            <v>112.1</v>
          </cell>
        </row>
        <row r="15">
          <cell r="N15">
            <v>109.26</v>
          </cell>
        </row>
        <row r="16">
          <cell r="N16">
            <v>105.72</v>
          </cell>
        </row>
        <row r="17">
          <cell r="N17">
            <v>105.63</v>
          </cell>
        </row>
        <row r="18">
          <cell r="N18">
            <v>107.77</v>
          </cell>
        </row>
        <row r="19">
          <cell r="N19">
            <v>104.21</v>
          </cell>
        </row>
        <row r="20">
          <cell r="N20">
            <v>101.29</v>
          </cell>
        </row>
        <row r="21">
          <cell r="N21">
            <v>100.06</v>
          </cell>
        </row>
        <row r="22">
          <cell r="N22">
            <v>101.27</v>
          </cell>
        </row>
        <row r="23">
          <cell r="N23">
            <v>109.87</v>
          </cell>
        </row>
        <row r="24">
          <cell r="N24">
            <v>114.44</v>
          </cell>
        </row>
        <row r="25">
          <cell r="N25">
            <v>108.17</v>
          </cell>
        </row>
        <row r="26">
          <cell r="N26">
            <v>114.01</v>
          </cell>
        </row>
        <row r="27">
          <cell r="N27">
            <v>118.03</v>
          </cell>
        </row>
        <row r="28">
          <cell r="N28">
            <v>111.26</v>
          </cell>
        </row>
        <row r="29">
          <cell r="N29">
            <v>108.23</v>
          </cell>
        </row>
      </sheetData>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7C6AC-C5A7-440C-A805-AD0B348A2DD7}">
  <sheetPr codeName="Sheet32">
    <tabColor theme="1"/>
  </sheetPr>
  <dimension ref="A1:V125"/>
  <sheetViews>
    <sheetView tabSelected="1" topLeftCell="B1" zoomScale="85" zoomScaleNormal="85" workbookViewId="0">
      <pane xSplit="2" ySplit="1" topLeftCell="M110" activePane="bottomRight" state="frozen"/>
      <selection activeCell="B1" sqref="B1"/>
      <selection pane="topRight" activeCell="D1" sqref="D1"/>
      <selection pane="bottomLeft" activeCell="B2" sqref="B2"/>
      <selection pane="bottomRight" activeCell="R118" sqref="R118"/>
    </sheetView>
  </sheetViews>
  <sheetFormatPr defaultColWidth="9" defaultRowHeight="16.899999999999999" x14ac:dyDescent="0.6"/>
  <cols>
    <col min="1" max="1" width="8.5" style="17" hidden="1" customWidth="1"/>
    <col min="2" max="2" width="1.375" style="17" customWidth="1"/>
    <col min="3" max="3" width="15.125" style="12" customWidth="1"/>
    <col min="4" max="5" width="11.375" style="13" customWidth="1"/>
    <col min="6" max="6" width="11.375" style="15" customWidth="1"/>
    <col min="7" max="7" width="29.125" style="15" customWidth="1"/>
    <col min="8" max="8" width="21.5" style="17" customWidth="1"/>
    <col min="9" max="9" width="23.125" style="17" customWidth="1"/>
    <col min="10" max="10" width="65.375" style="17" customWidth="1"/>
    <col min="11" max="12" width="30.625" style="17" customWidth="1"/>
    <col min="13" max="13" width="8.125" style="15" bestFit="1" customWidth="1"/>
    <col min="14" max="14" width="8.125" style="18" bestFit="1" customWidth="1"/>
    <col min="15" max="15" width="30.625" style="17" customWidth="1"/>
    <col min="16" max="17" width="11.5" style="19" bestFit="1" customWidth="1"/>
    <col min="18" max="18" width="12" style="20" customWidth="1"/>
    <col min="19" max="19" width="9.375" style="21" customWidth="1"/>
    <col min="20" max="20" width="6.375" style="17" bestFit="1" customWidth="1"/>
    <col min="21" max="21" width="30.625" style="17" customWidth="1"/>
    <col min="22" max="22" width="47.4375" style="17" customWidth="1"/>
    <col min="23" max="16384" width="9" style="17"/>
  </cols>
  <sheetData>
    <row r="1" spans="3:22" customFormat="1" ht="33.75" x14ac:dyDescent="0.6">
      <c r="C1" s="1" t="s">
        <v>0</v>
      </c>
      <c r="D1" s="2" t="s">
        <v>1</v>
      </c>
      <c r="E1" s="2" t="s">
        <v>2</v>
      </c>
      <c r="F1" s="3" t="s">
        <v>3</v>
      </c>
      <c r="G1" s="3" t="s">
        <v>4</v>
      </c>
      <c r="H1" s="4" t="s">
        <v>5</v>
      </c>
      <c r="I1" s="4" t="s">
        <v>6</v>
      </c>
      <c r="J1" s="4" t="s">
        <v>7</v>
      </c>
      <c r="K1" s="4" t="s">
        <v>8</v>
      </c>
      <c r="L1" s="4" t="s">
        <v>9</v>
      </c>
      <c r="M1" s="5" t="s">
        <v>10</v>
      </c>
      <c r="N1" s="6" t="s">
        <v>11</v>
      </c>
      <c r="O1" s="4" t="s">
        <v>12</v>
      </c>
      <c r="P1" s="7" t="s">
        <v>13</v>
      </c>
      <c r="Q1" s="8" t="s">
        <v>14</v>
      </c>
      <c r="R1" s="9" t="s">
        <v>15</v>
      </c>
      <c r="S1" s="10" t="s">
        <v>16</v>
      </c>
      <c r="T1" s="11" t="s">
        <v>17</v>
      </c>
      <c r="U1" s="11" t="s">
        <v>18</v>
      </c>
      <c r="V1" s="11" t="s">
        <v>19</v>
      </c>
    </row>
    <row r="2" spans="3:22" ht="25.5" customHeight="1" x14ac:dyDescent="0.6">
      <c r="C2" s="12">
        <v>46023</v>
      </c>
      <c r="D2" s="13">
        <v>4.1666666666666664E-2</v>
      </c>
      <c r="E2" s="13">
        <v>0.30208333333333331</v>
      </c>
      <c r="F2" s="14">
        <v>0.26041666666666663</v>
      </c>
      <c r="G2" s="15" t="s">
        <v>20</v>
      </c>
      <c r="H2" s="16" t="s">
        <v>21</v>
      </c>
      <c r="I2" s="17" t="s">
        <v>22</v>
      </c>
      <c r="J2" s="16" t="s">
        <v>23</v>
      </c>
      <c r="K2" s="16" t="s">
        <v>24</v>
      </c>
      <c r="L2" s="17" t="s">
        <v>25</v>
      </c>
      <c r="M2" s="15">
        <v>2</v>
      </c>
      <c r="N2" s="18">
        <v>0</v>
      </c>
      <c r="O2" s="16" t="s">
        <v>26</v>
      </c>
      <c r="P2" s="19">
        <f>Q2+R2</f>
        <v>134494892</v>
      </c>
      <c r="Q2" s="19">
        <v>125984892</v>
      </c>
      <c r="R2" s="20">
        <v>8510000</v>
      </c>
      <c r="S2" s="21">
        <f>R2/Q2</f>
        <v>6.7547781840381307E-2</v>
      </c>
      <c r="U2" s="16" t="s">
        <v>27</v>
      </c>
      <c r="V2" s="16"/>
    </row>
    <row r="3" spans="3:22" ht="25.5" customHeight="1" x14ac:dyDescent="0.6">
      <c r="C3" s="12">
        <v>46024</v>
      </c>
      <c r="D3" s="13">
        <v>4.1666666666666664E-2</v>
      </c>
      <c r="E3" s="13">
        <v>0.30208333333333331</v>
      </c>
      <c r="F3" s="14">
        <v>0.26041666666666663</v>
      </c>
      <c r="G3" s="15" t="s">
        <v>28</v>
      </c>
      <c r="H3" s="16" t="s">
        <v>29</v>
      </c>
      <c r="I3" s="17" t="s">
        <v>30</v>
      </c>
      <c r="J3" s="16" t="s">
        <v>31</v>
      </c>
      <c r="K3" s="16" t="s">
        <v>32</v>
      </c>
      <c r="L3" s="17" t="s">
        <v>25</v>
      </c>
      <c r="M3" s="15">
        <v>3</v>
      </c>
      <c r="N3" s="18">
        <v>0.3</v>
      </c>
      <c r="O3" s="16" t="s">
        <v>33</v>
      </c>
      <c r="P3" s="19">
        <f t="shared" ref="P3:P66" si="0">Q3+R3</f>
        <v>136649892</v>
      </c>
      <c r="Q3" s="19">
        <v>125984892</v>
      </c>
      <c r="R3" s="20">
        <v>10665000</v>
      </c>
      <c r="S3" s="21">
        <f t="shared" ref="S3:S66" si="1">R3/Q3</f>
        <v>8.4653007441558945E-2</v>
      </c>
      <c r="U3" s="16" t="s">
        <v>34</v>
      </c>
      <c r="V3" s="16"/>
    </row>
    <row r="4" spans="3:22" ht="25.5" customHeight="1" x14ac:dyDescent="0.6">
      <c r="C4" s="12">
        <v>46025</v>
      </c>
      <c r="D4" s="13">
        <v>0.47916666666666669</v>
      </c>
      <c r="E4" s="13">
        <v>0.22222222222222221</v>
      </c>
      <c r="F4" s="14">
        <v>-0.25694444444444448</v>
      </c>
      <c r="G4" s="15" t="s">
        <v>35</v>
      </c>
      <c r="I4" s="17" t="s">
        <v>36</v>
      </c>
      <c r="J4" s="16" t="s">
        <v>37</v>
      </c>
      <c r="K4" s="16" t="s">
        <v>38</v>
      </c>
      <c r="L4" s="17" t="s">
        <v>25</v>
      </c>
      <c r="M4" s="15">
        <v>4</v>
      </c>
      <c r="N4" s="18">
        <v>0.33</v>
      </c>
      <c r="O4" s="17" t="s">
        <v>39</v>
      </c>
      <c r="P4" s="19">
        <f t="shared" si="0"/>
        <v>136649892</v>
      </c>
      <c r="Q4" s="19">
        <v>125984892</v>
      </c>
      <c r="R4" s="20">
        <v>10665000</v>
      </c>
      <c r="S4" s="21">
        <f t="shared" si="1"/>
        <v>8.4653007441558945E-2</v>
      </c>
      <c r="U4" s="16" t="s">
        <v>40</v>
      </c>
      <c r="V4" s="16"/>
    </row>
    <row r="5" spans="3:22" ht="25.5" customHeight="1" x14ac:dyDescent="0.6">
      <c r="C5" s="12">
        <v>46026</v>
      </c>
      <c r="D5" s="13">
        <v>4.1666666666666664E-2</v>
      </c>
      <c r="E5" s="13">
        <v>0.25</v>
      </c>
      <c r="F5" s="14">
        <v>0.20833333333333334</v>
      </c>
      <c r="G5" s="15" t="s">
        <v>41</v>
      </c>
      <c r="H5" s="16" t="s">
        <v>42</v>
      </c>
      <c r="I5" s="17" t="s">
        <v>43</v>
      </c>
      <c r="J5" s="16" t="s">
        <v>44</v>
      </c>
      <c r="K5" s="16" t="s">
        <v>45</v>
      </c>
      <c r="L5" s="17" t="s">
        <v>25</v>
      </c>
      <c r="M5" s="15">
        <v>5</v>
      </c>
      <c r="N5" s="18">
        <v>0.39</v>
      </c>
      <c r="O5" s="16" t="s">
        <v>46</v>
      </c>
      <c r="P5" s="19">
        <f t="shared" si="0"/>
        <v>135650406</v>
      </c>
      <c r="Q5" s="19">
        <v>126445406</v>
      </c>
      <c r="R5" s="20">
        <v>9205000</v>
      </c>
      <c r="S5" s="21">
        <f t="shared" si="1"/>
        <v>7.2798216172440464E-2</v>
      </c>
      <c r="V5" s="16" t="s">
        <v>47</v>
      </c>
    </row>
    <row r="6" spans="3:22" ht="25.15" customHeight="1" x14ac:dyDescent="0.6">
      <c r="C6" s="12">
        <v>46027</v>
      </c>
      <c r="D6" s="13">
        <v>0.45833333333333331</v>
      </c>
      <c r="E6" s="13">
        <v>0.20833333333333334</v>
      </c>
      <c r="F6" s="14">
        <v>-0.24999999999999997</v>
      </c>
      <c r="G6" s="15" t="s">
        <v>48</v>
      </c>
      <c r="H6" s="16" t="s">
        <v>49</v>
      </c>
      <c r="I6" s="17" t="s">
        <v>50</v>
      </c>
      <c r="J6" s="16" t="s">
        <v>51</v>
      </c>
      <c r="K6" s="16" t="s">
        <v>52</v>
      </c>
      <c r="L6" s="17" t="s">
        <v>25</v>
      </c>
      <c r="M6" s="15">
        <v>6</v>
      </c>
      <c r="N6" s="18">
        <v>0</v>
      </c>
      <c r="O6" s="16" t="s">
        <v>53</v>
      </c>
      <c r="P6" s="19">
        <f t="shared" si="0"/>
        <v>135650406</v>
      </c>
      <c r="Q6" s="19">
        <v>126445406</v>
      </c>
      <c r="R6" s="20">
        <v>9205000</v>
      </c>
      <c r="S6" s="21">
        <f t="shared" si="1"/>
        <v>7.2798216172440464E-2</v>
      </c>
      <c r="V6" s="16" t="s">
        <v>54</v>
      </c>
    </row>
    <row r="7" spans="3:22" ht="25.5" customHeight="1" x14ac:dyDescent="0.6">
      <c r="C7" s="12">
        <v>46028</v>
      </c>
      <c r="D7" s="13">
        <v>0.45833333333333331</v>
      </c>
      <c r="E7" s="13">
        <v>0.20833333333333334</v>
      </c>
      <c r="F7" s="14">
        <v>-0.24999999999999997</v>
      </c>
      <c r="G7" s="15" t="s">
        <v>55</v>
      </c>
      <c r="H7" s="17" t="s">
        <v>56</v>
      </c>
      <c r="I7" s="17" t="s">
        <v>57</v>
      </c>
      <c r="J7" s="16" t="s">
        <v>58</v>
      </c>
      <c r="K7" s="16" t="s">
        <v>59</v>
      </c>
      <c r="L7" s="17" t="s">
        <v>60</v>
      </c>
      <c r="M7" s="15">
        <v>1</v>
      </c>
      <c r="N7" s="18">
        <v>0.09</v>
      </c>
      <c r="O7" s="16" t="s">
        <v>61</v>
      </c>
      <c r="P7" s="19">
        <f t="shared" si="0"/>
        <v>142688485</v>
      </c>
      <c r="Q7" s="19">
        <v>130358485</v>
      </c>
      <c r="R7" s="20">
        <v>12330000</v>
      </c>
      <c r="S7" s="21">
        <f t="shared" si="1"/>
        <v>9.4585327529696284E-2</v>
      </c>
      <c r="V7" s="16" t="s">
        <v>62</v>
      </c>
    </row>
    <row r="8" spans="3:22" ht="25.5" customHeight="1" x14ac:dyDescent="0.6">
      <c r="C8" s="12">
        <v>46029</v>
      </c>
      <c r="D8" s="13">
        <v>0.45833333333333331</v>
      </c>
      <c r="E8" s="13">
        <v>0.20833333333333334</v>
      </c>
      <c r="F8" s="14">
        <v>-0.24999999999999997</v>
      </c>
      <c r="G8" s="15" t="s">
        <v>63</v>
      </c>
      <c r="H8" s="16" t="s">
        <v>64</v>
      </c>
      <c r="I8" s="17" t="s">
        <v>65</v>
      </c>
      <c r="J8" s="16" t="s">
        <v>66</v>
      </c>
      <c r="K8" s="16" t="s">
        <v>67</v>
      </c>
      <c r="L8" s="17" t="s">
        <v>60</v>
      </c>
      <c r="M8" s="15">
        <v>2</v>
      </c>
      <c r="N8" s="18">
        <v>0.25</v>
      </c>
      <c r="O8" s="16" t="s">
        <v>68</v>
      </c>
      <c r="P8" s="19">
        <f t="shared" si="0"/>
        <v>144332955</v>
      </c>
      <c r="Q8" s="19">
        <v>130632955</v>
      </c>
      <c r="R8" s="20">
        <v>13700000</v>
      </c>
      <c r="S8" s="21">
        <f t="shared" si="1"/>
        <v>0.10487399599894223</v>
      </c>
      <c r="V8" s="16" t="s">
        <v>69</v>
      </c>
    </row>
    <row r="9" spans="3:22" ht="25.5" customHeight="1" x14ac:dyDescent="0.6">
      <c r="C9" s="12">
        <v>46030</v>
      </c>
      <c r="D9" s="13">
        <v>0.45833333333333331</v>
      </c>
      <c r="E9" s="13">
        <v>0.20833333333333334</v>
      </c>
      <c r="F9" s="14">
        <v>-0.24999999999999997</v>
      </c>
      <c r="G9" s="15" t="s">
        <v>70</v>
      </c>
      <c r="H9" s="16" t="s">
        <v>71</v>
      </c>
      <c r="I9" s="17" t="s">
        <v>72</v>
      </c>
      <c r="J9" s="16" t="s">
        <v>73</v>
      </c>
      <c r="K9" s="16" t="s">
        <v>74</v>
      </c>
      <c r="L9" s="17" t="s">
        <v>60</v>
      </c>
      <c r="M9" s="15">
        <v>3</v>
      </c>
      <c r="N9" s="18">
        <v>0.55000000000000004</v>
      </c>
      <c r="O9" s="16" t="s">
        <v>75</v>
      </c>
      <c r="P9" s="19">
        <f t="shared" si="0"/>
        <v>145858537</v>
      </c>
      <c r="Q9" s="19">
        <v>130868537</v>
      </c>
      <c r="R9" s="20">
        <v>14990000</v>
      </c>
      <c r="S9" s="21">
        <f t="shared" si="1"/>
        <v>0.11454242817737009</v>
      </c>
      <c r="V9" s="16" t="s">
        <v>76</v>
      </c>
    </row>
    <row r="10" spans="3:22" ht="25.5" customHeight="1" x14ac:dyDescent="0.6">
      <c r="C10" s="12">
        <v>46031</v>
      </c>
      <c r="D10" s="13">
        <v>0.45833333333333331</v>
      </c>
      <c r="E10" s="13">
        <v>0.20833333333333334</v>
      </c>
      <c r="F10" s="14">
        <v>-0.24999999999999997</v>
      </c>
      <c r="G10" s="15" t="s">
        <v>77</v>
      </c>
      <c r="I10" s="17" t="s">
        <v>78</v>
      </c>
      <c r="J10" s="16" t="s">
        <v>79</v>
      </c>
      <c r="K10" s="16" t="s">
        <v>80</v>
      </c>
      <c r="L10" s="17" t="s">
        <v>60</v>
      </c>
      <c r="M10" s="15">
        <v>4</v>
      </c>
      <c r="N10" s="18">
        <v>1</v>
      </c>
      <c r="O10" s="17" t="s">
        <v>81</v>
      </c>
      <c r="P10" s="19">
        <f t="shared" si="0"/>
        <v>144228537</v>
      </c>
      <c r="Q10" s="19">
        <v>130868537</v>
      </c>
      <c r="R10" s="20">
        <v>13360000</v>
      </c>
      <c r="S10" s="21">
        <f t="shared" si="1"/>
        <v>0.10208718081718908</v>
      </c>
    </row>
    <row r="11" spans="3:22" ht="25.5" customHeight="1" x14ac:dyDescent="0.6">
      <c r="C11" s="12">
        <v>46032</v>
      </c>
      <c r="D11" s="13">
        <v>0.41666666666666669</v>
      </c>
      <c r="E11" s="13">
        <v>0.20833333333333334</v>
      </c>
      <c r="F11" s="14">
        <v>-0.20833333333333334</v>
      </c>
      <c r="G11" s="15" t="s">
        <v>82</v>
      </c>
      <c r="H11" s="16" t="s">
        <v>83</v>
      </c>
      <c r="I11" s="17" t="s">
        <v>84</v>
      </c>
      <c r="J11" s="16" t="s">
        <v>85</v>
      </c>
      <c r="K11" s="16" t="s">
        <v>86</v>
      </c>
      <c r="L11" s="17" t="s">
        <v>87</v>
      </c>
      <c r="M11" s="15">
        <v>1</v>
      </c>
      <c r="N11" s="18">
        <v>0</v>
      </c>
      <c r="O11" s="17" t="s">
        <v>88</v>
      </c>
      <c r="P11" s="19">
        <f t="shared" si="0"/>
        <v>147037486</v>
      </c>
      <c r="Q11" s="19">
        <v>131527486</v>
      </c>
      <c r="R11" s="20">
        <v>15510000</v>
      </c>
      <c r="S11" s="21">
        <f t="shared" si="1"/>
        <v>0.11792212009587107</v>
      </c>
    </row>
    <row r="12" spans="3:22" ht="25.5" customHeight="1" x14ac:dyDescent="0.6">
      <c r="C12" s="12">
        <v>46033</v>
      </c>
      <c r="D12" s="13">
        <v>0.41666666666666669</v>
      </c>
      <c r="E12" s="13">
        <v>0.20833333333333334</v>
      </c>
      <c r="F12" s="14">
        <v>-0.20833333333333334</v>
      </c>
      <c r="G12" s="15" t="s">
        <v>89</v>
      </c>
      <c r="H12" s="16" t="s">
        <v>90</v>
      </c>
      <c r="I12" s="17" t="s">
        <v>91</v>
      </c>
      <c r="J12" s="16" t="s">
        <v>92</v>
      </c>
      <c r="K12" s="16" t="s">
        <v>93</v>
      </c>
      <c r="L12" s="17" t="s">
        <v>94</v>
      </c>
      <c r="M12" s="15">
        <v>1</v>
      </c>
      <c r="N12" s="18">
        <v>0.18</v>
      </c>
      <c r="O12" s="16" t="s">
        <v>95</v>
      </c>
      <c r="P12" s="19">
        <f t="shared" si="0"/>
        <v>147037486</v>
      </c>
      <c r="Q12" s="19">
        <v>131527486</v>
      </c>
      <c r="R12" s="20">
        <v>15510000</v>
      </c>
      <c r="S12" s="21">
        <f t="shared" si="1"/>
        <v>0.11792212009587107</v>
      </c>
    </row>
    <row r="13" spans="3:22" ht="25.5" customHeight="1" x14ac:dyDescent="0.6">
      <c r="C13" s="12">
        <v>46034</v>
      </c>
      <c r="D13" s="13">
        <v>0.4375</v>
      </c>
      <c r="E13" s="13">
        <v>0.22222222222222221</v>
      </c>
      <c r="F13" s="14">
        <v>-0.21527777777777779</v>
      </c>
      <c r="G13" s="15" t="s">
        <v>96</v>
      </c>
      <c r="H13" s="17" t="s">
        <v>97</v>
      </c>
      <c r="I13" s="17" t="s">
        <v>98</v>
      </c>
      <c r="J13" s="16" t="s">
        <v>99</v>
      </c>
      <c r="K13" s="16" t="s">
        <v>100</v>
      </c>
      <c r="L13" s="17" t="s">
        <v>94</v>
      </c>
      <c r="M13" s="15">
        <v>2</v>
      </c>
      <c r="N13" s="18">
        <v>0.18</v>
      </c>
      <c r="O13" s="16" t="s">
        <v>101</v>
      </c>
      <c r="P13" s="19">
        <f t="shared" si="0"/>
        <v>147037486</v>
      </c>
      <c r="Q13" s="19">
        <v>131527486</v>
      </c>
      <c r="R13" s="20">
        <v>15510000</v>
      </c>
      <c r="S13" s="21">
        <f t="shared" si="1"/>
        <v>0.11792212009587107</v>
      </c>
      <c r="U13" s="16" t="s">
        <v>102</v>
      </c>
      <c r="V13" s="16" t="s">
        <v>103</v>
      </c>
    </row>
    <row r="14" spans="3:22" ht="25.5" customHeight="1" x14ac:dyDescent="0.6">
      <c r="C14" s="12">
        <v>46035</v>
      </c>
      <c r="D14" s="13">
        <v>0.99305555555555547</v>
      </c>
      <c r="E14" s="13">
        <v>0.19444444444444445</v>
      </c>
      <c r="F14" s="14">
        <v>-0.79861111111111105</v>
      </c>
      <c r="G14" s="15" t="s">
        <v>104</v>
      </c>
      <c r="H14" s="17" t="s">
        <v>105</v>
      </c>
      <c r="I14" s="17" t="s">
        <v>106</v>
      </c>
      <c r="J14" s="16" t="s">
        <v>107</v>
      </c>
      <c r="K14" s="16" t="s">
        <v>108</v>
      </c>
      <c r="L14" s="17" t="s">
        <v>94</v>
      </c>
      <c r="M14" s="15">
        <v>3</v>
      </c>
      <c r="N14" s="18">
        <v>0.27</v>
      </c>
      <c r="O14" s="16" t="s">
        <v>109</v>
      </c>
      <c r="P14" s="19">
        <f t="shared" si="0"/>
        <v>148856707</v>
      </c>
      <c r="Q14" s="19">
        <v>131856707</v>
      </c>
      <c r="R14" s="20">
        <v>17000000</v>
      </c>
      <c r="S14" s="21">
        <f t="shared" si="1"/>
        <v>0.12892783679179853</v>
      </c>
      <c r="V14" s="16" t="s">
        <v>110</v>
      </c>
    </row>
    <row r="15" spans="3:22" ht="25.5" customHeight="1" x14ac:dyDescent="0.6">
      <c r="C15" s="12">
        <v>46036</v>
      </c>
      <c r="D15" s="13">
        <v>0.45833333333333331</v>
      </c>
      <c r="E15" s="13">
        <v>0.22916666666666666</v>
      </c>
      <c r="F15" s="14">
        <v>-0.22916666666666666</v>
      </c>
      <c r="G15" s="15" t="s">
        <v>111</v>
      </c>
      <c r="H15" s="16" t="s">
        <v>112</v>
      </c>
      <c r="I15" s="17" t="s">
        <v>113</v>
      </c>
      <c r="J15" s="16" t="s">
        <v>114</v>
      </c>
      <c r="K15" s="16" t="s">
        <v>115</v>
      </c>
      <c r="L15" s="17" t="s">
        <v>94</v>
      </c>
      <c r="M15" s="15">
        <v>4</v>
      </c>
      <c r="N15" s="18">
        <v>1</v>
      </c>
      <c r="O15" s="16" t="s">
        <v>116</v>
      </c>
      <c r="P15" s="19">
        <f t="shared" si="0"/>
        <v>149952268</v>
      </c>
      <c r="Q15" s="19">
        <v>132492268</v>
      </c>
      <c r="R15" s="20">
        <v>17460000</v>
      </c>
      <c r="S15" s="21">
        <f t="shared" si="1"/>
        <v>0.13178127496466435</v>
      </c>
      <c r="U15" s="16" t="s">
        <v>117</v>
      </c>
      <c r="V15" s="16" t="s">
        <v>118</v>
      </c>
    </row>
    <row r="16" spans="3:22" ht="25.5" customHeight="1" x14ac:dyDescent="0.6">
      <c r="C16" s="12">
        <v>46037</v>
      </c>
      <c r="D16" s="13">
        <v>0.45833333333333331</v>
      </c>
      <c r="E16" s="13">
        <v>0.22916666666666666</v>
      </c>
      <c r="F16" s="14">
        <v>-0.22916666666666666</v>
      </c>
      <c r="G16" s="15" t="s">
        <v>119</v>
      </c>
      <c r="H16" s="16" t="s">
        <v>120</v>
      </c>
      <c r="I16" s="17" t="s">
        <v>121</v>
      </c>
      <c r="J16" s="16" t="s">
        <v>122</v>
      </c>
      <c r="K16" s="16" t="s">
        <v>123</v>
      </c>
      <c r="L16" s="17" t="s">
        <v>124</v>
      </c>
      <c r="M16" s="15">
        <v>3</v>
      </c>
      <c r="N16" s="18">
        <v>0.56000000000000005</v>
      </c>
      <c r="O16" s="16" t="s">
        <v>125</v>
      </c>
      <c r="P16" s="19">
        <f t="shared" si="0"/>
        <v>153413002</v>
      </c>
      <c r="Q16" s="19">
        <v>136813002</v>
      </c>
      <c r="R16" s="20">
        <v>16600000</v>
      </c>
      <c r="S16" s="21">
        <f t="shared" si="1"/>
        <v>0.12133349723588406</v>
      </c>
      <c r="U16" s="16" t="s">
        <v>126</v>
      </c>
      <c r="V16" s="16" t="s">
        <v>127</v>
      </c>
    </row>
    <row r="17" spans="3:22" ht="25.5" customHeight="1" x14ac:dyDescent="0.6">
      <c r="C17" s="12">
        <v>46038</v>
      </c>
      <c r="D17" s="13">
        <v>0.125</v>
      </c>
      <c r="E17" s="13">
        <v>0.27777777777777779</v>
      </c>
      <c r="F17" s="14">
        <v>0.15277777777777779</v>
      </c>
      <c r="G17" s="15" t="s">
        <v>128</v>
      </c>
      <c r="H17" s="16" t="s">
        <v>129</v>
      </c>
      <c r="I17" s="17" t="s">
        <v>121</v>
      </c>
      <c r="J17" s="17" t="s">
        <v>130</v>
      </c>
      <c r="K17" s="16" t="s">
        <v>131</v>
      </c>
      <c r="L17" s="17" t="s">
        <v>124</v>
      </c>
      <c r="M17" s="15">
        <v>4</v>
      </c>
      <c r="N17" s="18">
        <v>0.56000000000000005</v>
      </c>
      <c r="O17" s="16" t="s">
        <v>132</v>
      </c>
      <c r="P17" s="19">
        <f t="shared" si="0"/>
        <v>160028942</v>
      </c>
      <c r="Q17" s="19">
        <v>140738942</v>
      </c>
      <c r="R17" s="20">
        <v>19290000</v>
      </c>
      <c r="S17" s="21">
        <f t="shared" si="1"/>
        <v>0.13706227804384091</v>
      </c>
      <c r="U17" s="16" t="s">
        <v>133</v>
      </c>
      <c r="V17" s="16" t="s">
        <v>134</v>
      </c>
    </row>
    <row r="18" spans="3:22" ht="25.5" customHeight="1" x14ac:dyDescent="0.6">
      <c r="C18" s="12">
        <v>46039</v>
      </c>
      <c r="D18" s="13">
        <v>0.4375</v>
      </c>
      <c r="E18" s="13">
        <v>0.27777777777777779</v>
      </c>
      <c r="F18" s="14">
        <v>-0.15972222222222221</v>
      </c>
      <c r="G18" s="15" t="s">
        <v>135</v>
      </c>
      <c r="H18" s="16" t="s">
        <v>136</v>
      </c>
      <c r="I18" s="17" t="s">
        <v>137</v>
      </c>
      <c r="J18" s="16" t="s">
        <v>138</v>
      </c>
      <c r="K18" s="16" t="s">
        <v>139</v>
      </c>
      <c r="L18" s="17" t="s">
        <v>124</v>
      </c>
      <c r="M18" s="15">
        <v>5</v>
      </c>
      <c r="N18" s="18">
        <v>0.56000000000000005</v>
      </c>
      <c r="O18" s="16" t="s">
        <v>140</v>
      </c>
      <c r="P18" s="19">
        <f t="shared" si="0"/>
        <v>158675837</v>
      </c>
      <c r="Q18" s="19">
        <v>140738942</v>
      </c>
      <c r="R18" s="20">
        <v>17936895</v>
      </c>
      <c r="S18" s="21">
        <f t="shared" si="1"/>
        <v>0.12744798806289165</v>
      </c>
      <c r="U18" s="16" t="s">
        <v>141</v>
      </c>
      <c r="V18" s="16" t="s">
        <v>142</v>
      </c>
    </row>
    <row r="19" spans="3:22" ht="25.5" customHeight="1" x14ac:dyDescent="0.6">
      <c r="C19" s="12">
        <v>46040</v>
      </c>
      <c r="D19" s="13">
        <v>0.4375</v>
      </c>
      <c r="E19" s="13">
        <v>0.27777777777777779</v>
      </c>
      <c r="F19" s="14">
        <v>-0.15972222222222221</v>
      </c>
      <c r="G19" s="15" t="s">
        <v>143</v>
      </c>
      <c r="H19" s="16" t="s">
        <v>144</v>
      </c>
      <c r="I19" s="17" t="s">
        <v>145</v>
      </c>
      <c r="J19" s="16" t="s">
        <v>146</v>
      </c>
      <c r="K19" s="17" t="s">
        <v>147</v>
      </c>
      <c r="L19" s="17" t="s">
        <v>124</v>
      </c>
      <c r="M19" s="15">
        <v>6</v>
      </c>
      <c r="N19" s="18">
        <v>0.56000000000000005</v>
      </c>
      <c r="O19" s="16" t="s">
        <v>148</v>
      </c>
      <c r="P19" s="19">
        <f t="shared" si="0"/>
        <v>158675837</v>
      </c>
      <c r="Q19" s="19">
        <v>140738942</v>
      </c>
      <c r="R19" s="20">
        <v>17936895</v>
      </c>
      <c r="S19" s="21">
        <f t="shared" si="1"/>
        <v>0.12744798806289165</v>
      </c>
      <c r="U19" s="16" t="s">
        <v>149</v>
      </c>
      <c r="V19" s="16" t="s">
        <v>150</v>
      </c>
    </row>
    <row r="20" spans="3:22" ht="25.15" customHeight="1" x14ac:dyDescent="0.6">
      <c r="C20" s="12">
        <v>46041</v>
      </c>
      <c r="D20" s="13">
        <v>0.4375</v>
      </c>
      <c r="E20" s="13">
        <v>0.22222222222222221</v>
      </c>
      <c r="F20" s="14">
        <v>-0.21527777777777779</v>
      </c>
      <c r="G20" s="15" t="s">
        <v>151</v>
      </c>
      <c r="H20" s="16" t="s">
        <v>152</v>
      </c>
      <c r="I20" s="17" t="s">
        <v>153</v>
      </c>
      <c r="J20" s="16" t="s">
        <v>154</v>
      </c>
      <c r="K20" s="17" t="s">
        <v>147</v>
      </c>
      <c r="L20" s="17" t="s">
        <v>124</v>
      </c>
      <c r="M20" s="15">
        <v>7</v>
      </c>
      <c r="N20" s="18">
        <v>0.47</v>
      </c>
      <c r="O20" s="16" t="s">
        <v>155</v>
      </c>
      <c r="P20" s="19">
        <f t="shared" si="0"/>
        <v>160033571</v>
      </c>
      <c r="Q20" s="19">
        <v>140738942</v>
      </c>
      <c r="R20" s="20">
        <v>19294629</v>
      </c>
      <c r="S20" s="21">
        <f t="shared" si="1"/>
        <v>0.13709516872735905</v>
      </c>
      <c r="U20" s="16" t="s">
        <v>156</v>
      </c>
      <c r="V20" s="16" t="s">
        <v>157</v>
      </c>
    </row>
    <row r="21" spans="3:22" ht="25.5" customHeight="1" x14ac:dyDescent="0.6">
      <c r="C21" s="12">
        <v>46042</v>
      </c>
      <c r="D21" s="13">
        <v>0.4375</v>
      </c>
      <c r="E21" s="13">
        <v>0.22222222222222221</v>
      </c>
      <c r="F21" s="14">
        <v>-0.21527777777777779</v>
      </c>
      <c r="G21" s="15" t="s">
        <v>158</v>
      </c>
      <c r="H21" s="16" t="s">
        <v>159</v>
      </c>
      <c r="I21" s="17" t="s">
        <v>153</v>
      </c>
      <c r="J21" s="17" t="s">
        <v>160</v>
      </c>
      <c r="K21" s="17" t="s">
        <v>147</v>
      </c>
      <c r="L21" s="17" t="s">
        <v>124</v>
      </c>
      <c r="M21" s="15">
        <v>8</v>
      </c>
      <c r="N21" s="18">
        <v>0.47</v>
      </c>
      <c r="O21" s="16" t="s">
        <v>161</v>
      </c>
      <c r="P21" s="19">
        <f t="shared" si="0"/>
        <v>160565194</v>
      </c>
      <c r="Q21" s="19">
        <v>140738942</v>
      </c>
      <c r="R21" s="20">
        <v>19826252</v>
      </c>
      <c r="S21" s="21">
        <f t="shared" si="1"/>
        <v>0.14087253831992</v>
      </c>
      <c r="V21" s="16" t="s">
        <v>162</v>
      </c>
    </row>
    <row r="22" spans="3:22" ht="25.5" customHeight="1" x14ac:dyDescent="0.6">
      <c r="C22" s="12">
        <v>46043</v>
      </c>
      <c r="D22" s="13">
        <v>0.4375</v>
      </c>
      <c r="E22" s="13">
        <v>0.22222222222222221</v>
      </c>
      <c r="F22" s="14">
        <v>-0.21527777777777779</v>
      </c>
      <c r="G22" s="15" t="s">
        <v>163</v>
      </c>
      <c r="H22" s="16" t="s">
        <v>164</v>
      </c>
      <c r="I22" s="17" t="s">
        <v>153</v>
      </c>
      <c r="J22" s="16" t="s">
        <v>165</v>
      </c>
      <c r="K22" s="17" t="s">
        <v>147</v>
      </c>
      <c r="L22" s="17" t="s">
        <v>166</v>
      </c>
      <c r="M22" s="15">
        <v>1</v>
      </c>
      <c r="N22" s="18">
        <v>0.18</v>
      </c>
      <c r="O22" s="16" t="s">
        <v>167</v>
      </c>
      <c r="P22" s="19">
        <f t="shared" si="0"/>
        <v>156857942</v>
      </c>
      <c r="Q22" s="19">
        <v>140738942</v>
      </c>
      <c r="R22" s="20">
        <v>16119000</v>
      </c>
      <c r="S22" s="21">
        <f t="shared" si="1"/>
        <v>0.11453120061112865</v>
      </c>
      <c r="U22" s="16" t="s">
        <v>168</v>
      </c>
      <c r="V22" s="16" t="s">
        <v>169</v>
      </c>
    </row>
    <row r="23" spans="3:22" ht="25.5" customHeight="1" x14ac:dyDescent="0.6">
      <c r="C23" s="12">
        <v>46044</v>
      </c>
      <c r="D23" s="13">
        <v>0.4375</v>
      </c>
      <c r="E23" s="13">
        <v>0.20138888888888887</v>
      </c>
      <c r="F23" s="14">
        <v>-0.23611111111111113</v>
      </c>
      <c r="G23" s="15" t="s">
        <v>170</v>
      </c>
      <c r="H23" s="16" t="s">
        <v>171</v>
      </c>
      <c r="I23" s="17" t="s">
        <v>172</v>
      </c>
      <c r="J23" s="16" t="s">
        <v>173</v>
      </c>
      <c r="K23" s="17" t="s">
        <v>147</v>
      </c>
      <c r="L23" s="17" t="s">
        <v>166</v>
      </c>
      <c r="M23" s="15">
        <v>2</v>
      </c>
      <c r="N23" s="18">
        <v>0.62</v>
      </c>
      <c r="O23" s="16" t="s">
        <v>174</v>
      </c>
      <c r="P23" s="19">
        <f t="shared" si="0"/>
        <v>162048942</v>
      </c>
      <c r="Q23" s="19">
        <v>140738942</v>
      </c>
      <c r="R23" s="20">
        <v>21310000</v>
      </c>
      <c r="S23" s="21">
        <f t="shared" si="1"/>
        <v>0.1514150930593183</v>
      </c>
      <c r="U23" s="16" t="s">
        <v>175</v>
      </c>
      <c r="V23" s="16" t="s">
        <v>176</v>
      </c>
    </row>
    <row r="24" spans="3:22" ht="25.5" customHeight="1" x14ac:dyDescent="0.6">
      <c r="C24" s="12">
        <v>46045</v>
      </c>
      <c r="D24" s="13">
        <v>0.45833333333333331</v>
      </c>
      <c r="E24" s="13">
        <v>0.22222222222222221</v>
      </c>
      <c r="F24" s="14">
        <v>-0.2361111111111111</v>
      </c>
      <c r="G24" s="15" t="s">
        <v>177</v>
      </c>
      <c r="H24" s="16" t="s">
        <v>178</v>
      </c>
      <c r="I24" s="17" t="s">
        <v>179</v>
      </c>
      <c r="J24" s="16" t="s">
        <v>180</v>
      </c>
      <c r="K24" s="17" t="s">
        <v>147</v>
      </c>
      <c r="L24" s="17" t="s">
        <v>181</v>
      </c>
      <c r="M24" s="15">
        <v>2</v>
      </c>
      <c r="N24" s="18">
        <v>1</v>
      </c>
      <c r="O24" s="16" t="s">
        <v>182</v>
      </c>
      <c r="P24" s="19">
        <f t="shared" si="0"/>
        <v>163370942</v>
      </c>
      <c r="Q24" s="19">
        <v>140738942</v>
      </c>
      <c r="R24" s="20">
        <v>22632000</v>
      </c>
      <c r="S24" s="21">
        <f t="shared" si="1"/>
        <v>0.16080837100509113</v>
      </c>
      <c r="U24" s="16" t="s">
        <v>183</v>
      </c>
      <c r="V24" s="16" t="s">
        <v>184</v>
      </c>
    </row>
    <row r="25" spans="3:22" ht="25.15" customHeight="1" x14ac:dyDescent="0.6">
      <c r="C25" s="12">
        <v>46046</v>
      </c>
      <c r="D25" s="13">
        <v>0.45833333333333331</v>
      </c>
      <c r="E25" s="13">
        <v>0.22222222222222221</v>
      </c>
      <c r="F25" s="14">
        <v>-0.2361111111111111</v>
      </c>
      <c r="G25" s="15" t="s">
        <v>185</v>
      </c>
      <c r="H25" s="16" t="s">
        <v>186</v>
      </c>
      <c r="I25" s="17" t="s">
        <v>187</v>
      </c>
      <c r="J25" s="16" t="s">
        <v>188</v>
      </c>
      <c r="K25" s="17" t="s">
        <v>147</v>
      </c>
      <c r="L25" s="17" t="s">
        <v>189</v>
      </c>
      <c r="M25" s="15">
        <v>1</v>
      </c>
      <c r="N25" s="18">
        <v>0.56000000000000005</v>
      </c>
      <c r="O25" s="16" t="s">
        <v>190</v>
      </c>
      <c r="P25" s="19">
        <f t="shared" si="0"/>
        <v>162628942</v>
      </c>
      <c r="Q25" s="19">
        <v>140738942</v>
      </c>
      <c r="R25" s="20">
        <v>21890000</v>
      </c>
      <c r="S25" s="21">
        <f t="shared" si="1"/>
        <v>0.15553619836079199</v>
      </c>
      <c r="V25" s="16" t="s">
        <v>191</v>
      </c>
    </row>
    <row r="26" spans="3:22" ht="25.15" customHeight="1" x14ac:dyDescent="0.6">
      <c r="C26" s="12">
        <v>46047</v>
      </c>
      <c r="D26" s="13">
        <v>0.45833333333333331</v>
      </c>
      <c r="E26" s="13">
        <v>0.22222222222222221</v>
      </c>
      <c r="F26" s="14">
        <v>-0.2361111111111111</v>
      </c>
      <c r="G26" s="15" t="s">
        <v>192</v>
      </c>
      <c r="H26" s="16" t="s">
        <v>193</v>
      </c>
      <c r="I26" s="17" t="s">
        <v>194</v>
      </c>
      <c r="J26" s="16" t="s">
        <v>195</v>
      </c>
      <c r="K26" s="17" t="s">
        <v>147</v>
      </c>
      <c r="L26" s="17" t="s">
        <v>189</v>
      </c>
      <c r="M26" s="15">
        <v>3</v>
      </c>
      <c r="N26" s="18">
        <v>1</v>
      </c>
      <c r="O26" s="16" t="s">
        <v>196</v>
      </c>
      <c r="P26" s="19">
        <f t="shared" si="0"/>
        <v>162628942</v>
      </c>
      <c r="Q26" s="19">
        <v>140738942</v>
      </c>
      <c r="R26" s="20">
        <v>21890000</v>
      </c>
      <c r="S26" s="21">
        <f t="shared" si="1"/>
        <v>0.15553619836079199</v>
      </c>
      <c r="V26" s="16" t="s">
        <v>197</v>
      </c>
    </row>
    <row r="27" spans="3:22" ht="25.15" customHeight="1" x14ac:dyDescent="0.6">
      <c r="C27" s="12">
        <v>46048</v>
      </c>
      <c r="D27" s="13">
        <v>0.45833333333333331</v>
      </c>
      <c r="E27" s="13">
        <v>0.22222222222222221</v>
      </c>
      <c r="F27" s="14">
        <v>-0.2361111111111111</v>
      </c>
      <c r="G27" s="15" t="s">
        <v>198</v>
      </c>
      <c r="H27" s="16" t="s">
        <v>199</v>
      </c>
      <c r="I27" s="17" t="s">
        <v>200</v>
      </c>
      <c r="J27" s="16" t="s">
        <v>201</v>
      </c>
      <c r="K27" s="17" t="s">
        <v>147</v>
      </c>
      <c r="L27" s="17" t="s">
        <v>202</v>
      </c>
      <c r="M27" s="15">
        <v>1</v>
      </c>
      <c r="N27" s="18">
        <v>0.17</v>
      </c>
      <c r="O27" s="16" t="s">
        <v>203</v>
      </c>
      <c r="P27" s="19">
        <f t="shared" si="0"/>
        <v>162908942</v>
      </c>
      <c r="Q27" s="19">
        <v>140738942</v>
      </c>
      <c r="R27" s="20">
        <v>22170000</v>
      </c>
      <c r="S27" s="21">
        <f t="shared" si="1"/>
        <v>0.15752569747184827</v>
      </c>
      <c r="U27" s="16" t="s">
        <v>204</v>
      </c>
      <c r="V27" s="16" t="s">
        <v>205</v>
      </c>
    </row>
    <row r="28" spans="3:22" ht="25.15" customHeight="1" x14ac:dyDescent="0.6">
      <c r="C28" s="12">
        <v>46049</v>
      </c>
      <c r="D28" s="13">
        <v>0.45833333333333331</v>
      </c>
      <c r="E28" s="13">
        <v>0.22222222222222221</v>
      </c>
      <c r="F28" s="14">
        <v>-0.2361111111111111</v>
      </c>
      <c r="G28" s="15" t="s">
        <v>206</v>
      </c>
      <c r="H28" s="16" t="s">
        <v>207</v>
      </c>
      <c r="I28" s="17" t="s">
        <v>200</v>
      </c>
      <c r="J28" s="16" t="s">
        <v>208</v>
      </c>
      <c r="K28" s="17" t="s">
        <v>147</v>
      </c>
      <c r="L28" s="17" t="s">
        <v>202</v>
      </c>
      <c r="M28" s="15">
        <v>2</v>
      </c>
      <c r="N28" s="18">
        <v>0.17</v>
      </c>
      <c r="O28" s="16" t="s">
        <v>209</v>
      </c>
      <c r="P28" s="19">
        <f t="shared" si="0"/>
        <v>160218942</v>
      </c>
      <c r="Q28" s="19">
        <v>140738942</v>
      </c>
      <c r="R28" s="20">
        <v>19480000</v>
      </c>
      <c r="S28" s="21">
        <f t="shared" si="1"/>
        <v>0.13841229529777196</v>
      </c>
      <c r="U28" s="16" t="s">
        <v>210</v>
      </c>
      <c r="V28" s="16" t="s">
        <v>211</v>
      </c>
    </row>
    <row r="29" spans="3:22" ht="25.15" customHeight="1" x14ac:dyDescent="0.6">
      <c r="C29" s="12">
        <v>46050</v>
      </c>
      <c r="D29" s="13">
        <v>8.3333333333333329E-2</v>
      </c>
      <c r="E29" s="13">
        <v>0.2638888888888889</v>
      </c>
      <c r="F29" s="14">
        <v>0.18055555555555558</v>
      </c>
      <c r="G29" s="15" t="s">
        <v>212</v>
      </c>
      <c r="H29" s="16" t="s">
        <v>213</v>
      </c>
      <c r="I29" s="17" t="s">
        <v>214</v>
      </c>
      <c r="J29" s="16" t="s">
        <v>215</v>
      </c>
      <c r="K29" s="17" t="s">
        <v>147</v>
      </c>
      <c r="L29" s="17" t="s">
        <v>202</v>
      </c>
      <c r="M29" s="15">
        <v>3</v>
      </c>
      <c r="N29" s="18">
        <v>0.56999999999999995</v>
      </c>
      <c r="O29" s="16" t="s">
        <v>216</v>
      </c>
      <c r="P29" s="19">
        <f t="shared" si="0"/>
        <v>162191942</v>
      </c>
      <c r="Q29" s="19">
        <v>140738942</v>
      </c>
      <c r="R29" s="20">
        <v>21453000</v>
      </c>
      <c r="S29" s="21">
        <f t="shared" si="1"/>
        <v>0.15243115867675061</v>
      </c>
      <c r="U29" s="16" t="s">
        <v>217</v>
      </c>
      <c r="V29" s="16" t="s">
        <v>218</v>
      </c>
    </row>
    <row r="30" spans="3:22" ht="25.15" customHeight="1" x14ac:dyDescent="0.6">
      <c r="C30" s="12">
        <v>46051</v>
      </c>
      <c r="D30" s="13">
        <v>0.5</v>
      </c>
      <c r="E30" s="13">
        <v>0.20833333333333334</v>
      </c>
      <c r="F30" s="14">
        <v>-0.29166666666666663</v>
      </c>
      <c r="G30" s="15" t="s">
        <v>219</v>
      </c>
      <c r="H30" s="16" t="s">
        <v>220</v>
      </c>
      <c r="I30" s="17" t="s">
        <v>221</v>
      </c>
      <c r="J30" s="16" t="s">
        <v>222</v>
      </c>
      <c r="K30" s="17" t="s">
        <v>147</v>
      </c>
      <c r="L30" s="17" t="s">
        <v>202</v>
      </c>
      <c r="M30" s="15">
        <v>4</v>
      </c>
      <c r="N30" s="18">
        <v>0.56999999999999995</v>
      </c>
      <c r="O30" s="16" t="s">
        <v>223</v>
      </c>
      <c r="P30" s="19">
        <f t="shared" si="0"/>
        <v>167523942</v>
      </c>
      <c r="Q30" s="19">
        <v>140738942</v>
      </c>
      <c r="R30" s="20">
        <v>26785000</v>
      </c>
      <c r="S30" s="21">
        <f t="shared" si="1"/>
        <v>0.19031690603443643</v>
      </c>
      <c r="U30" s="16" t="s">
        <v>224</v>
      </c>
      <c r="V30" s="16" t="s">
        <v>225</v>
      </c>
    </row>
    <row r="31" spans="3:22" ht="25.15" customHeight="1" x14ac:dyDescent="0.6">
      <c r="C31" s="12">
        <v>46052</v>
      </c>
      <c r="D31" s="13">
        <v>6.25E-2</v>
      </c>
      <c r="E31" s="13">
        <v>0.25</v>
      </c>
      <c r="F31" s="14">
        <v>0.1875</v>
      </c>
      <c r="G31" s="15" t="s">
        <v>226</v>
      </c>
      <c r="H31" s="16" t="s">
        <v>227</v>
      </c>
      <c r="I31" s="17" t="s">
        <v>228</v>
      </c>
      <c r="J31" s="16" t="s">
        <v>229</v>
      </c>
      <c r="K31" s="17" t="s">
        <v>147</v>
      </c>
      <c r="L31" s="17" t="s">
        <v>202</v>
      </c>
      <c r="M31" s="15">
        <v>5</v>
      </c>
      <c r="N31" s="18">
        <v>1</v>
      </c>
      <c r="O31" s="16" t="s">
        <v>230</v>
      </c>
      <c r="P31" s="19">
        <f t="shared" si="0"/>
        <v>166538942</v>
      </c>
      <c r="Q31" s="19">
        <v>140738942</v>
      </c>
      <c r="R31" s="20">
        <v>25800000</v>
      </c>
      <c r="S31" s="21">
        <f t="shared" si="1"/>
        <v>0.1833181323758992</v>
      </c>
      <c r="U31" s="16" t="s">
        <v>231</v>
      </c>
      <c r="V31" s="17" t="s">
        <v>232</v>
      </c>
    </row>
    <row r="32" spans="3:22" ht="25.15" customHeight="1" x14ac:dyDescent="0.6">
      <c r="C32" s="12">
        <v>46053</v>
      </c>
      <c r="D32" s="13">
        <v>6.25E-2</v>
      </c>
      <c r="E32" s="13">
        <v>0.25</v>
      </c>
      <c r="F32" s="14">
        <v>0.1875</v>
      </c>
      <c r="G32" s="15" t="s">
        <v>233</v>
      </c>
      <c r="H32" s="16" t="s">
        <v>234</v>
      </c>
      <c r="I32" s="17" t="s">
        <v>235</v>
      </c>
      <c r="J32" s="16" t="s">
        <v>236</v>
      </c>
      <c r="K32" s="17" t="s">
        <v>147</v>
      </c>
      <c r="L32" s="17" t="s">
        <v>237</v>
      </c>
      <c r="M32" s="15">
        <v>1</v>
      </c>
      <c r="N32" s="18">
        <v>0.31</v>
      </c>
      <c r="O32" s="16" t="s">
        <v>238</v>
      </c>
      <c r="P32" s="19">
        <f t="shared" si="0"/>
        <v>162738942</v>
      </c>
      <c r="Q32" s="19">
        <v>140738942</v>
      </c>
      <c r="R32" s="20">
        <v>22000000</v>
      </c>
      <c r="S32" s="21">
        <f t="shared" si="1"/>
        <v>0.15631778729727838</v>
      </c>
      <c r="U32" s="16" t="s">
        <v>239</v>
      </c>
      <c r="V32" s="17" t="s">
        <v>240</v>
      </c>
    </row>
    <row r="33" spans="3:22" ht="25.15" customHeight="1" x14ac:dyDescent="0.6">
      <c r="C33" s="12">
        <v>46054</v>
      </c>
      <c r="D33" s="13">
        <v>6.25E-2</v>
      </c>
      <c r="E33" s="13">
        <v>0.25</v>
      </c>
      <c r="F33" s="14">
        <v>0.1875</v>
      </c>
      <c r="G33" s="15" t="s">
        <v>241</v>
      </c>
      <c r="H33" s="16" t="s">
        <v>242</v>
      </c>
      <c r="I33" s="17" t="s">
        <v>243</v>
      </c>
      <c r="J33" s="16" t="s">
        <v>244</v>
      </c>
      <c r="K33" s="17" t="s">
        <v>147</v>
      </c>
      <c r="L33" s="17" t="s">
        <v>237</v>
      </c>
      <c r="M33" s="15">
        <v>2</v>
      </c>
      <c r="N33" s="18">
        <v>0.68</v>
      </c>
      <c r="O33" s="16" t="s">
        <v>245</v>
      </c>
      <c r="P33" s="19">
        <f t="shared" si="0"/>
        <v>162738942</v>
      </c>
      <c r="Q33" s="19">
        <v>140738942</v>
      </c>
      <c r="R33" s="20">
        <v>22000000</v>
      </c>
      <c r="S33" s="21">
        <f t="shared" si="1"/>
        <v>0.15631778729727838</v>
      </c>
      <c r="U33" s="16" t="s">
        <v>246</v>
      </c>
      <c r="V33" s="17" t="s">
        <v>247</v>
      </c>
    </row>
    <row r="34" spans="3:22" ht="25.15" customHeight="1" x14ac:dyDescent="0.6">
      <c r="C34" s="12">
        <v>46055</v>
      </c>
      <c r="D34" s="13">
        <v>6.25E-2</v>
      </c>
      <c r="E34" s="13">
        <v>0.25</v>
      </c>
      <c r="F34" s="14">
        <v>0.1875</v>
      </c>
      <c r="G34" s="15" t="s">
        <v>248</v>
      </c>
      <c r="H34" s="16" t="s">
        <v>249</v>
      </c>
      <c r="I34" s="17" t="s">
        <v>243</v>
      </c>
      <c r="J34" s="16" t="s">
        <v>250</v>
      </c>
      <c r="K34" s="17" t="s">
        <v>147</v>
      </c>
      <c r="L34" s="17" t="s">
        <v>237</v>
      </c>
      <c r="M34" s="15">
        <v>3</v>
      </c>
      <c r="N34" s="18">
        <v>0.78</v>
      </c>
      <c r="O34" s="16" t="s">
        <v>251</v>
      </c>
      <c r="P34" s="19">
        <f t="shared" si="0"/>
        <v>162738942</v>
      </c>
      <c r="Q34" s="19">
        <v>140738942</v>
      </c>
      <c r="R34" s="20">
        <v>22000000</v>
      </c>
      <c r="S34" s="21">
        <f t="shared" si="1"/>
        <v>0.15631778729727838</v>
      </c>
      <c r="U34" s="16" t="s">
        <v>252</v>
      </c>
      <c r="V34" s="17" t="s">
        <v>247</v>
      </c>
    </row>
    <row r="35" spans="3:22" ht="25.15" customHeight="1" x14ac:dyDescent="0.6">
      <c r="C35" s="12">
        <v>46056</v>
      </c>
      <c r="D35" s="13">
        <v>0.52083333333333337</v>
      </c>
      <c r="E35" s="13">
        <v>0.25694444444444448</v>
      </c>
      <c r="F35" s="14">
        <v>-0.2638888888888889</v>
      </c>
      <c r="G35" s="15" t="s">
        <v>253</v>
      </c>
      <c r="H35" s="16" t="s">
        <v>254</v>
      </c>
      <c r="I35" s="17" t="s">
        <v>255</v>
      </c>
      <c r="J35" s="16" t="s">
        <v>256</v>
      </c>
      <c r="K35" s="17" t="s">
        <v>147</v>
      </c>
      <c r="L35" s="17" t="s">
        <v>257</v>
      </c>
      <c r="M35" s="15">
        <v>1</v>
      </c>
      <c r="N35" s="18">
        <v>0</v>
      </c>
      <c r="O35" s="16" t="s">
        <v>258</v>
      </c>
      <c r="P35" s="19">
        <f t="shared" si="0"/>
        <v>167058942</v>
      </c>
      <c r="Q35" s="19">
        <v>140738942</v>
      </c>
      <c r="R35" s="20">
        <v>26320000</v>
      </c>
      <c r="S35" s="21">
        <f t="shared" si="1"/>
        <v>0.18701291643928941</v>
      </c>
      <c r="U35" s="16" t="s">
        <v>259</v>
      </c>
      <c r="V35" s="17" t="s">
        <v>260</v>
      </c>
    </row>
    <row r="36" spans="3:22" ht="25.15" customHeight="1" x14ac:dyDescent="0.6">
      <c r="C36" s="12">
        <v>46057</v>
      </c>
      <c r="D36" s="13">
        <v>6.25E-2</v>
      </c>
      <c r="E36" s="13">
        <v>0.25</v>
      </c>
      <c r="F36" s="14">
        <v>0.1875</v>
      </c>
      <c r="G36" s="15" t="s">
        <v>261</v>
      </c>
      <c r="H36" s="16" t="s">
        <v>262</v>
      </c>
      <c r="I36" s="17" t="s">
        <v>263</v>
      </c>
      <c r="J36" s="16" t="s">
        <v>264</v>
      </c>
      <c r="K36" s="17" t="s">
        <v>147</v>
      </c>
      <c r="L36" s="17" t="s">
        <v>257</v>
      </c>
      <c r="M36" s="15">
        <v>1</v>
      </c>
      <c r="N36" s="18">
        <v>0.28999999999999998</v>
      </c>
      <c r="O36" s="16" t="s">
        <v>265</v>
      </c>
      <c r="P36" s="19">
        <f t="shared" si="0"/>
        <v>166278942</v>
      </c>
      <c r="Q36" s="19">
        <v>140738942</v>
      </c>
      <c r="R36" s="20">
        <v>25540000</v>
      </c>
      <c r="S36" s="21">
        <f t="shared" si="1"/>
        <v>0.1814707403442041</v>
      </c>
      <c r="U36" s="16" t="s">
        <v>266</v>
      </c>
      <c r="V36" s="17" t="s">
        <v>267</v>
      </c>
    </row>
    <row r="37" spans="3:22" ht="25.15" customHeight="1" x14ac:dyDescent="0.6">
      <c r="C37" s="12">
        <v>46058</v>
      </c>
      <c r="D37" s="13">
        <v>6.25E-2</v>
      </c>
      <c r="E37" s="13">
        <v>0.25</v>
      </c>
      <c r="F37" s="14">
        <v>0.1875</v>
      </c>
      <c r="G37" s="15" t="s">
        <v>268</v>
      </c>
      <c r="I37" s="17" t="s">
        <v>263</v>
      </c>
      <c r="J37" s="16" t="s">
        <v>269</v>
      </c>
      <c r="K37" s="17" t="s">
        <v>147</v>
      </c>
      <c r="L37" s="17" t="s">
        <v>257</v>
      </c>
      <c r="M37" s="15">
        <v>2</v>
      </c>
      <c r="N37" s="18">
        <v>0.28999999999999998</v>
      </c>
      <c r="O37" s="17" t="s">
        <v>270</v>
      </c>
      <c r="P37" s="19">
        <f t="shared" si="0"/>
        <v>166278942</v>
      </c>
      <c r="Q37" s="19">
        <v>140738942</v>
      </c>
      <c r="R37" s="20">
        <v>25540000</v>
      </c>
      <c r="S37" s="21">
        <f t="shared" si="1"/>
        <v>0.1814707403442041</v>
      </c>
      <c r="U37" s="16" t="s">
        <v>271</v>
      </c>
      <c r="V37" s="16" t="s">
        <v>272</v>
      </c>
    </row>
    <row r="38" spans="3:22" ht="25.15" customHeight="1" x14ac:dyDescent="0.6">
      <c r="C38" s="12">
        <v>46059</v>
      </c>
      <c r="D38" s="13">
        <v>6.25E-2</v>
      </c>
      <c r="E38" s="13">
        <v>0.25</v>
      </c>
      <c r="F38" s="14">
        <v>0.1875</v>
      </c>
      <c r="G38" s="15" t="s">
        <v>273</v>
      </c>
      <c r="H38" s="17" t="s">
        <v>274</v>
      </c>
      <c r="I38" s="17" t="s">
        <v>263</v>
      </c>
      <c r="J38" s="16" t="s">
        <v>275</v>
      </c>
      <c r="K38" s="17" t="s">
        <v>147</v>
      </c>
      <c r="L38" s="17" t="s">
        <v>257</v>
      </c>
      <c r="M38" s="15">
        <v>3</v>
      </c>
      <c r="N38" s="18">
        <v>0.83</v>
      </c>
      <c r="O38" s="16" t="s">
        <v>276</v>
      </c>
      <c r="P38" s="19">
        <f t="shared" si="0"/>
        <v>166278942</v>
      </c>
      <c r="Q38" s="19">
        <v>140738942</v>
      </c>
      <c r="R38" s="20">
        <v>25540000</v>
      </c>
      <c r="S38" s="21">
        <f t="shared" si="1"/>
        <v>0.1814707403442041</v>
      </c>
      <c r="V38" s="16" t="s">
        <v>277</v>
      </c>
    </row>
    <row r="39" spans="3:22" ht="25.15" customHeight="1" x14ac:dyDescent="0.6">
      <c r="C39" s="12">
        <v>46060</v>
      </c>
      <c r="D39" s="13">
        <v>6.25E-2</v>
      </c>
      <c r="E39" s="13">
        <v>0.25</v>
      </c>
      <c r="F39" s="14">
        <v>0.1875</v>
      </c>
      <c r="G39" s="15" t="s">
        <v>278</v>
      </c>
      <c r="H39" s="16" t="s">
        <v>279</v>
      </c>
      <c r="I39" s="17" t="s">
        <v>280</v>
      </c>
      <c r="J39" s="16" t="s">
        <v>281</v>
      </c>
      <c r="K39" s="17" t="s">
        <v>147</v>
      </c>
      <c r="L39" s="17" t="s">
        <v>257</v>
      </c>
      <c r="M39" s="15">
        <v>4</v>
      </c>
      <c r="N39" s="18">
        <v>1</v>
      </c>
      <c r="O39" s="16" t="s">
        <v>282</v>
      </c>
      <c r="P39" s="19">
        <f t="shared" si="0"/>
        <v>157392942</v>
      </c>
      <c r="Q39" s="19">
        <v>140738942</v>
      </c>
      <c r="R39" s="20">
        <v>16654000</v>
      </c>
      <c r="S39" s="21">
        <f t="shared" si="1"/>
        <v>0.11833256498403974</v>
      </c>
      <c r="V39" s="16" t="s">
        <v>283</v>
      </c>
    </row>
    <row r="40" spans="3:22" ht="25.15" customHeight="1" x14ac:dyDescent="0.6">
      <c r="C40" s="12">
        <v>46061</v>
      </c>
      <c r="D40" s="13">
        <v>6.25E-2</v>
      </c>
      <c r="E40" s="13">
        <v>0.25</v>
      </c>
      <c r="F40" s="14">
        <v>0.1875</v>
      </c>
      <c r="G40" s="15" t="s">
        <v>284</v>
      </c>
      <c r="I40" s="17" t="s">
        <v>280</v>
      </c>
      <c r="J40" s="16" t="s">
        <v>269</v>
      </c>
      <c r="K40" s="17" t="s">
        <v>147</v>
      </c>
      <c r="L40" s="17" t="s">
        <v>285</v>
      </c>
      <c r="M40" s="15">
        <v>1</v>
      </c>
      <c r="N40" s="18">
        <v>0</v>
      </c>
      <c r="O40" s="16" t="s">
        <v>286</v>
      </c>
      <c r="P40" s="19">
        <f t="shared" si="0"/>
        <v>157111352</v>
      </c>
      <c r="Q40" s="19">
        <v>140738942</v>
      </c>
      <c r="R40" s="20">
        <v>16372410</v>
      </c>
      <c r="S40" s="21">
        <f t="shared" si="1"/>
        <v>0.11633176836017425</v>
      </c>
      <c r="U40" s="17" t="s">
        <v>287</v>
      </c>
    </row>
    <row r="41" spans="3:22" ht="25.15" customHeight="1" x14ac:dyDescent="0.6">
      <c r="C41" s="12">
        <v>46062</v>
      </c>
      <c r="D41" s="13">
        <v>0.52083333333333337</v>
      </c>
      <c r="E41" s="13">
        <v>0.22222222222222221</v>
      </c>
      <c r="F41" s="14">
        <v>-0.29861111111111116</v>
      </c>
      <c r="G41" s="15" t="s">
        <v>288</v>
      </c>
      <c r="H41" s="16" t="s">
        <v>289</v>
      </c>
      <c r="I41" s="17" t="s">
        <v>290</v>
      </c>
      <c r="J41" s="16" t="s">
        <v>291</v>
      </c>
      <c r="K41" s="17" t="s">
        <v>147</v>
      </c>
      <c r="L41" s="17" t="s">
        <v>285</v>
      </c>
      <c r="M41" s="15">
        <v>2</v>
      </c>
      <c r="N41" s="18">
        <v>0.17</v>
      </c>
      <c r="O41" s="16" t="s">
        <v>292</v>
      </c>
      <c r="P41" s="19">
        <f t="shared" si="0"/>
        <v>158285310</v>
      </c>
      <c r="Q41" s="19">
        <v>140738942</v>
      </c>
      <c r="R41" s="20">
        <v>17546368</v>
      </c>
      <c r="S41" s="21">
        <f t="shared" si="1"/>
        <v>0.12467315549380782</v>
      </c>
      <c r="U41" s="16" t="s">
        <v>293</v>
      </c>
      <c r="V41" s="16" t="s">
        <v>294</v>
      </c>
    </row>
    <row r="42" spans="3:22" ht="25.15" customHeight="1" x14ac:dyDescent="0.6">
      <c r="C42" s="12">
        <v>46063</v>
      </c>
      <c r="D42" s="13">
        <v>0.52083333333333337</v>
      </c>
      <c r="E42" s="13">
        <v>0.22222222222222221</v>
      </c>
      <c r="F42" s="14">
        <v>-0.29861111111111116</v>
      </c>
      <c r="G42" s="15" t="s">
        <v>295</v>
      </c>
      <c r="H42" s="16" t="s">
        <v>296</v>
      </c>
      <c r="I42" s="17" t="s">
        <v>297</v>
      </c>
      <c r="J42" s="16" t="s">
        <v>298</v>
      </c>
      <c r="K42" s="17" t="s">
        <v>147</v>
      </c>
      <c r="L42" s="17" t="s">
        <v>285</v>
      </c>
      <c r="M42" s="15">
        <v>3</v>
      </c>
      <c r="N42" s="18">
        <v>0.19</v>
      </c>
      <c r="O42" s="16" t="s">
        <v>299</v>
      </c>
      <c r="P42" s="19">
        <f t="shared" si="0"/>
        <v>158285310</v>
      </c>
      <c r="Q42" s="19">
        <v>140738942</v>
      </c>
      <c r="R42" s="20">
        <v>17546368</v>
      </c>
      <c r="S42" s="21">
        <f t="shared" si="1"/>
        <v>0.12467315549380782</v>
      </c>
      <c r="U42" s="16" t="s">
        <v>300</v>
      </c>
      <c r="V42" s="16" t="s">
        <v>301</v>
      </c>
    </row>
    <row r="43" spans="3:22" ht="25.15" customHeight="1" x14ac:dyDescent="0.6">
      <c r="C43" s="12">
        <v>46064</v>
      </c>
      <c r="D43" s="13">
        <v>0.52083333333333337</v>
      </c>
      <c r="E43" s="13">
        <v>0.22222222222222221</v>
      </c>
      <c r="F43" s="14">
        <v>-0.29861111111111116</v>
      </c>
      <c r="G43" s="15" t="s">
        <v>302</v>
      </c>
      <c r="I43" s="17" t="s">
        <v>303</v>
      </c>
      <c r="J43" s="16" t="s">
        <v>304</v>
      </c>
      <c r="K43" s="17" t="s">
        <v>147</v>
      </c>
      <c r="L43" s="17" t="s">
        <v>285</v>
      </c>
      <c r="M43" s="15">
        <v>4</v>
      </c>
      <c r="N43" s="18">
        <v>0.19</v>
      </c>
      <c r="O43" s="16" t="s">
        <v>286</v>
      </c>
      <c r="P43" s="19">
        <f t="shared" si="0"/>
        <v>158285310</v>
      </c>
      <c r="Q43" s="19">
        <v>140738942</v>
      </c>
      <c r="R43" s="20">
        <v>17546368</v>
      </c>
      <c r="S43" s="21">
        <f t="shared" si="1"/>
        <v>0.12467315549380782</v>
      </c>
      <c r="U43" s="16" t="s">
        <v>40</v>
      </c>
    </row>
    <row r="44" spans="3:22" ht="25.15" customHeight="1" x14ac:dyDescent="0.6">
      <c r="C44" s="12">
        <v>46065</v>
      </c>
      <c r="D44" s="13">
        <v>0.52083333333333337</v>
      </c>
      <c r="E44" s="13">
        <v>0.22222222222222221</v>
      </c>
      <c r="F44" s="14">
        <v>-0.29861111111111116</v>
      </c>
      <c r="G44" s="15" t="s">
        <v>305</v>
      </c>
      <c r="H44" s="17" t="s">
        <v>306</v>
      </c>
      <c r="I44" s="17" t="s">
        <v>307</v>
      </c>
      <c r="J44" s="16" t="s">
        <v>308</v>
      </c>
      <c r="K44" s="17" t="s">
        <v>147</v>
      </c>
      <c r="L44" s="17" t="s">
        <v>285</v>
      </c>
      <c r="M44" s="15">
        <v>5</v>
      </c>
      <c r="N44" s="18">
        <v>0.27</v>
      </c>
      <c r="O44" s="16" t="s">
        <v>309</v>
      </c>
      <c r="P44" s="19">
        <f t="shared" si="0"/>
        <v>161133852</v>
      </c>
      <c r="Q44" s="19">
        <v>140738942</v>
      </c>
      <c r="R44" s="20">
        <v>20394910</v>
      </c>
      <c r="S44" s="21">
        <f t="shared" si="1"/>
        <v>0.144913054696688</v>
      </c>
      <c r="U44" s="16" t="s">
        <v>310</v>
      </c>
      <c r="V44" s="16" t="s">
        <v>311</v>
      </c>
    </row>
    <row r="45" spans="3:22" ht="25.15" customHeight="1" x14ac:dyDescent="0.6">
      <c r="C45" s="12">
        <v>46066</v>
      </c>
      <c r="D45" s="13">
        <v>0.5</v>
      </c>
      <c r="E45" s="13">
        <v>0.23611111111111113</v>
      </c>
      <c r="F45" s="14">
        <v>-0.26388888888888884</v>
      </c>
      <c r="G45" s="15" t="s">
        <v>312</v>
      </c>
      <c r="H45" s="22" t="s">
        <v>313</v>
      </c>
      <c r="I45" s="17" t="s">
        <v>314</v>
      </c>
      <c r="J45" s="16" t="s">
        <v>315</v>
      </c>
      <c r="K45" s="17" t="s">
        <v>147</v>
      </c>
      <c r="L45" s="17" t="s">
        <v>285</v>
      </c>
      <c r="M45" s="15">
        <v>6</v>
      </c>
      <c r="N45" s="18">
        <v>0.37</v>
      </c>
      <c r="O45" s="16" t="s">
        <v>316</v>
      </c>
      <c r="P45" s="19">
        <f t="shared" si="0"/>
        <v>161871779</v>
      </c>
      <c r="Q45" s="19">
        <v>140738942</v>
      </c>
      <c r="R45" s="20">
        <v>21132837</v>
      </c>
      <c r="S45" s="21">
        <f t="shared" si="1"/>
        <v>0.15015628723427521</v>
      </c>
      <c r="U45" s="16" t="s">
        <v>317</v>
      </c>
      <c r="V45" s="16" t="s">
        <v>318</v>
      </c>
    </row>
    <row r="46" spans="3:22" ht="25.15" customHeight="1" x14ac:dyDescent="0.6">
      <c r="C46" s="12">
        <v>46067</v>
      </c>
      <c r="D46" s="13">
        <v>0.5</v>
      </c>
      <c r="E46" s="13">
        <v>0.23611111111111113</v>
      </c>
      <c r="F46" s="14">
        <v>-0.26388888888888884</v>
      </c>
      <c r="G46" s="15" t="s">
        <v>319</v>
      </c>
      <c r="H46" s="16" t="s">
        <v>320</v>
      </c>
      <c r="I46" s="17" t="s">
        <v>321</v>
      </c>
      <c r="J46" s="16" t="s">
        <v>322</v>
      </c>
      <c r="K46" s="17" t="s">
        <v>147</v>
      </c>
      <c r="L46" s="17" t="s">
        <v>285</v>
      </c>
      <c r="M46" s="15">
        <v>7</v>
      </c>
      <c r="N46" s="18">
        <v>0.37</v>
      </c>
      <c r="O46" s="16" t="s">
        <v>323</v>
      </c>
      <c r="P46" s="19">
        <f t="shared" si="0"/>
        <v>160870858</v>
      </c>
      <c r="Q46" s="19">
        <v>140738942</v>
      </c>
      <c r="R46" s="20">
        <v>20131916</v>
      </c>
      <c r="S46" s="21">
        <f t="shared" si="1"/>
        <v>0.14304438923521254</v>
      </c>
      <c r="U46" s="16" t="s">
        <v>324</v>
      </c>
      <c r="V46" s="16" t="s">
        <v>325</v>
      </c>
    </row>
    <row r="47" spans="3:22" ht="25.15" customHeight="1" x14ac:dyDescent="0.6">
      <c r="C47" s="12">
        <v>46068</v>
      </c>
      <c r="D47" s="13">
        <v>0.875</v>
      </c>
      <c r="E47" s="13">
        <v>0.29166666666666669</v>
      </c>
      <c r="F47" s="14">
        <v>-0.58333333333333326</v>
      </c>
      <c r="G47" s="15" t="s">
        <v>326</v>
      </c>
      <c r="H47" s="22" t="s">
        <v>327</v>
      </c>
      <c r="I47" s="17" t="s">
        <v>328</v>
      </c>
      <c r="J47" s="16" t="s">
        <v>329</v>
      </c>
      <c r="K47" s="16" t="s">
        <v>330</v>
      </c>
      <c r="L47" s="17" t="s">
        <v>285</v>
      </c>
      <c r="M47" s="15">
        <v>8</v>
      </c>
      <c r="N47" s="18">
        <v>0.51</v>
      </c>
      <c r="O47" s="16" t="s">
        <v>331</v>
      </c>
      <c r="P47" s="19">
        <f t="shared" si="0"/>
        <v>160299272</v>
      </c>
      <c r="Q47" s="19">
        <v>140738942</v>
      </c>
      <c r="R47" s="20">
        <v>19560330</v>
      </c>
      <c r="S47" s="21">
        <f t="shared" si="1"/>
        <v>0.13898306838202606</v>
      </c>
      <c r="V47" s="16" t="s">
        <v>332</v>
      </c>
    </row>
    <row r="48" spans="3:22" ht="25.15" customHeight="1" x14ac:dyDescent="0.6">
      <c r="C48" s="12">
        <v>46069</v>
      </c>
      <c r="D48" s="13">
        <v>0.99305555555555547</v>
      </c>
      <c r="E48" s="13">
        <v>0.30208333333333331</v>
      </c>
      <c r="F48" s="14">
        <v>-0.6909722222222221</v>
      </c>
      <c r="G48" s="15" t="s">
        <v>333</v>
      </c>
      <c r="H48" s="22" t="s">
        <v>334</v>
      </c>
      <c r="I48" s="17" t="s">
        <v>335</v>
      </c>
      <c r="J48" s="16" t="s">
        <v>336</v>
      </c>
      <c r="K48" s="16" t="s">
        <v>337</v>
      </c>
      <c r="L48" s="17" t="s">
        <v>285</v>
      </c>
      <c r="M48" s="15">
        <v>9</v>
      </c>
      <c r="N48" s="18">
        <v>0.51</v>
      </c>
      <c r="O48" s="16" t="s">
        <v>338</v>
      </c>
      <c r="P48" s="19">
        <f t="shared" si="0"/>
        <v>160299272</v>
      </c>
      <c r="Q48" s="19">
        <v>140738942</v>
      </c>
      <c r="R48" s="20">
        <v>19560330</v>
      </c>
      <c r="S48" s="21">
        <f t="shared" si="1"/>
        <v>0.13898306838202606</v>
      </c>
      <c r="V48" s="16" t="s">
        <v>339</v>
      </c>
    </row>
    <row r="49" spans="3:22" ht="25.15" customHeight="1" x14ac:dyDescent="0.6">
      <c r="C49" s="12">
        <v>46070</v>
      </c>
      <c r="D49" s="13">
        <v>0.99305555555555547</v>
      </c>
      <c r="E49" s="13">
        <v>0.33333333333333331</v>
      </c>
      <c r="F49" s="14">
        <v>-0.6597222222222221</v>
      </c>
      <c r="G49" s="15" t="s">
        <v>340</v>
      </c>
      <c r="H49" s="16" t="s">
        <v>341</v>
      </c>
      <c r="I49" s="17" t="s">
        <v>342</v>
      </c>
      <c r="J49" s="16" t="s">
        <v>343</v>
      </c>
      <c r="K49" s="16" t="s">
        <v>344</v>
      </c>
      <c r="L49" s="17" t="s">
        <v>285</v>
      </c>
      <c r="M49" s="15">
        <v>10</v>
      </c>
      <c r="N49" s="18">
        <v>0.76</v>
      </c>
      <c r="O49" s="16" t="s">
        <v>345</v>
      </c>
      <c r="P49" s="19">
        <f t="shared" si="0"/>
        <v>160299272</v>
      </c>
      <c r="Q49" s="19">
        <v>140738942</v>
      </c>
      <c r="R49" s="20">
        <v>19560330</v>
      </c>
      <c r="S49" s="21">
        <f t="shared" si="1"/>
        <v>0.13898306838202606</v>
      </c>
      <c r="V49" s="16" t="s">
        <v>346</v>
      </c>
    </row>
    <row r="50" spans="3:22" ht="25.15" customHeight="1" x14ac:dyDescent="0.6">
      <c r="C50" s="12">
        <v>46071</v>
      </c>
      <c r="D50" s="13">
        <v>2.0833333333333332E-2</v>
      </c>
      <c r="E50" s="13">
        <v>0.375</v>
      </c>
      <c r="F50" s="14">
        <v>0.35416666666666669</v>
      </c>
      <c r="G50" s="15" t="s">
        <v>347</v>
      </c>
      <c r="H50" s="16" t="s">
        <v>348</v>
      </c>
      <c r="I50" s="17" t="s">
        <v>349</v>
      </c>
      <c r="J50" s="16" t="s">
        <v>350</v>
      </c>
      <c r="K50" s="16" t="s">
        <v>351</v>
      </c>
      <c r="L50" s="17" t="s">
        <v>285</v>
      </c>
      <c r="M50" s="15">
        <v>11</v>
      </c>
      <c r="N50" s="18">
        <v>0.76</v>
      </c>
      <c r="O50" s="16" t="s">
        <v>352</v>
      </c>
      <c r="P50" s="19">
        <f t="shared" si="0"/>
        <v>156574166</v>
      </c>
      <c r="Q50" s="19">
        <v>140738942</v>
      </c>
      <c r="R50" s="23">
        <v>15835224</v>
      </c>
      <c r="S50" s="21">
        <f t="shared" si="1"/>
        <v>0.11251487168348899</v>
      </c>
      <c r="V50" s="16" t="s">
        <v>353</v>
      </c>
    </row>
    <row r="51" spans="3:22" ht="25.15" customHeight="1" x14ac:dyDescent="0.6">
      <c r="C51" s="12">
        <v>46072</v>
      </c>
      <c r="D51" s="24" t="s">
        <v>354</v>
      </c>
      <c r="F51" s="14" t="s">
        <v>355</v>
      </c>
      <c r="G51" s="15" t="s">
        <v>356</v>
      </c>
      <c r="H51" s="16" t="s">
        <v>357</v>
      </c>
      <c r="I51" s="17" t="s">
        <v>358</v>
      </c>
      <c r="J51" s="16" t="s">
        <v>359</v>
      </c>
      <c r="K51" s="16" t="s">
        <v>360</v>
      </c>
      <c r="L51" s="17" t="s">
        <v>285</v>
      </c>
      <c r="M51" s="15">
        <v>12</v>
      </c>
      <c r="N51" s="18">
        <v>0.92</v>
      </c>
      <c r="O51" s="16" t="s">
        <v>361</v>
      </c>
      <c r="P51" s="19">
        <f t="shared" si="0"/>
        <v>159738354</v>
      </c>
      <c r="Q51" s="19">
        <v>140738942</v>
      </c>
      <c r="R51" s="20">
        <v>18999412</v>
      </c>
      <c r="S51" s="21">
        <f t="shared" si="1"/>
        <v>0.13499754744497083</v>
      </c>
      <c r="V51" s="16" t="s">
        <v>362</v>
      </c>
    </row>
    <row r="52" spans="3:22" ht="25.15" customHeight="1" x14ac:dyDescent="0.6">
      <c r="C52" s="12">
        <v>46073</v>
      </c>
      <c r="D52" s="24" t="s">
        <v>363</v>
      </c>
      <c r="F52" s="14" t="s">
        <v>355</v>
      </c>
      <c r="G52" s="15" t="s">
        <v>364</v>
      </c>
      <c r="H52" s="16" t="s">
        <v>365</v>
      </c>
      <c r="I52" s="17" t="s">
        <v>366</v>
      </c>
      <c r="J52" s="16" t="s">
        <v>367</v>
      </c>
      <c r="K52" s="16" t="s">
        <v>368</v>
      </c>
      <c r="L52" s="17" t="s">
        <v>285</v>
      </c>
      <c r="O52" s="16" t="s">
        <v>369</v>
      </c>
      <c r="P52" s="19">
        <f t="shared" si="0"/>
        <v>159738354</v>
      </c>
      <c r="Q52" s="19">
        <v>140738942</v>
      </c>
      <c r="R52" s="20">
        <v>18999412</v>
      </c>
      <c r="S52" s="21">
        <f t="shared" si="1"/>
        <v>0.13499754744497083</v>
      </c>
      <c r="V52" s="16" t="s">
        <v>370</v>
      </c>
    </row>
    <row r="53" spans="3:22" ht="25.15" customHeight="1" x14ac:dyDescent="0.6">
      <c r="C53" s="12">
        <v>46074</v>
      </c>
      <c r="D53" s="24" t="s">
        <v>363</v>
      </c>
      <c r="F53" s="14" t="s">
        <v>355</v>
      </c>
      <c r="G53" s="15" t="s">
        <v>371</v>
      </c>
      <c r="H53" s="16" t="s">
        <v>372</v>
      </c>
      <c r="I53" s="17" t="s">
        <v>373</v>
      </c>
      <c r="J53" s="16" t="s">
        <v>374</v>
      </c>
      <c r="K53" s="16" t="s">
        <v>375</v>
      </c>
      <c r="L53" s="17" t="s">
        <v>285</v>
      </c>
      <c r="O53" s="16" t="s">
        <v>376</v>
      </c>
      <c r="P53" s="19">
        <f t="shared" si="0"/>
        <v>165908151</v>
      </c>
      <c r="Q53" s="19">
        <v>140738942</v>
      </c>
      <c r="R53" s="20">
        <v>25169209</v>
      </c>
      <c r="S53" s="21">
        <f t="shared" si="1"/>
        <v>0.17883613904103385</v>
      </c>
      <c r="V53" s="16" t="s">
        <v>377</v>
      </c>
    </row>
    <row r="54" spans="3:22" ht="25.15" customHeight="1" x14ac:dyDescent="0.6">
      <c r="C54" s="12">
        <v>46075</v>
      </c>
      <c r="D54" s="24" t="s">
        <v>378</v>
      </c>
      <c r="F54" s="14" t="s">
        <v>355</v>
      </c>
      <c r="G54" s="15" t="s">
        <v>379</v>
      </c>
      <c r="H54" s="16" t="s">
        <v>380</v>
      </c>
      <c r="I54" s="17" t="s">
        <v>381</v>
      </c>
      <c r="J54" s="16" t="s">
        <v>382</v>
      </c>
      <c r="K54" s="16" t="s">
        <v>383</v>
      </c>
      <c r="L54" s="17" t="s">
        <v>384</v>
      </c>
      <c r="M54" s="15">
        <v>1</v>
      </c>
      <c r="N54" s="18">
        <v>0.02</v>
      </c>
      <c r="O54" s="16" t="s">
        <v>385</v>
      </c>
      <c r="P54" s="19">
        <f t="shared" si="0"/>
        <v>187058232.17680004</v>
      </c>
      <c r="Q54" s="19">
        <v>161889023</v>
      </c>
      <c r="R54" s="20">
        <v>25169209.176800042</v>
      </c>
      <c r="S54" s="21">
        <f t="shared" si="1"/>
        <v>0.15547199377934379</v>
      </c>
      <c r="V54" s="16" t="s">
        <v>386</v>
      </c>
    </row>
    <row r="55" spans="3:22" ht="25.15" customHeight="1" x14ac:dyDescent="0.6">
      <c r="C55" s="12">
        <v>46076</v>
      </c>
      <c r="D55" s="24" t="s">
        <v>363</v>
      </c>
      <c r="F55" s="14" t="s">
        <v>355</v>
      </c>
      <c r="G55" s="15" t="s">
        <v>387</v>
      </c>
      <c r="H55" s="16" t="s">
        <v>388</v>
      </c>
      <c r="I55" s="17" t="s">
        <v>389</v>
      </c>
      <c r="J55" s="16" t="s">
        <v>390</v>
      </c>
      <c r="K55" s="16" t="s">
        <v>391</v>
      </c>
      <c r="L55" s="17" t="s">
        <v>384</v>
      </c>
      <c r="M55" s="15">
        <v>2</v>
      </c>
      <c r="N55" s="18">
        <v>0.02</v>
      </c>
      <c r="O55" s="16" t="s">
        <v>392</v>
      </c>
      <c r="P55" s="19">
        <f t="shared" si="0"/>
        <v>187236398.88999999</v>
      </c>
      <c r="Q55" s="19">
        <v>161889023</v>
      </c>
      <c r="R55" s="20">
        <v>25347375.889999986</v>
      </c>
      <c r="S55" s="21">
        <f t="shared" si="1"/>
        <v>0.15657254222851161</v>
      </c>
      <c r="U55" s="16" t="s">
        <v>393</v>
      </c>
      <c r="V55" s="16" t="s">
        <v>394</v>
      </c>
    </row>
    <row r="56" spans="3:22" ht="25.15" customHeight="1" x14ac:dyDescent="0.6">
      <c r="C56" s="12">
        <v>46077</v>
      </c>
      <c r="D56" s="24" t="s">
        <v>395</v>
      </c>
      <c r="F56" s="14" t="s">
        <v>355</v>
      </c>
      <c r="G56" s="15" t="s">
        <v>396</v>
      </c>
      <c r="H56" s="16" t="s">
        <v>397</v>
      </c>
      <c r="I56" s="17" t="s">
        <v>398</v>
      </c>
      <c r="J56" s="16" t="s">
        <v>399</v>
      </c>
      <c r="K56" s="16" t="s">
        <v>400</v>
      </c>
      <c r="L56" s="17" t="s">
        <v>384</v>
      </c>
      <c r="M56" s="15">
        <v>3</v>
      </c>
      <c r="N56" s="18">
        <v>0.02</v>
      </c>
      <c r="O56" s="16" t="s">
        <v>401</v>
      </c>
      <c r="P56" s="19">
        <f t="shared" si="0"/>
        <v>195199311.47999996</v>
      </c>
      <c r="Q56" s="19">
        <v>170039015</v>
      </c>
      <c r="R56" s="20">
        <v>25160296.479999959</v>
      </c>
      <c r="S56" s="21">
        <f t="shared" si="1"/>
        <v>0.147967785393252</v>
      </c>
      <c r="U56" s="16" t="s">
        <v>402</v>
      </c>
      <c r="V56" s="16" t="s">
        <v>403</v>
      </c>
    </row>
    <row r="57" spans="3:22" ht="25.15" customHeight="1" x14ac:dyDescent="0.6">
      <c r="C57" s="12">
        <v>46078</v>
      </c>
      <c r="D57" s="24" t="s">
        <v>404</v>
      </c>
      <c r="F57" s="14" t="s">
        <v>355</v>
      </c>
      <c r="G57" s="15" t="s">
        <v>405</v>
      </c>
      <c r="H57" s="22" t="s">
        <v>406</v>
      </c>
      <c r="I57" s="17" t="s">
        <v>407</v>
      </c>
      <c r="J57" s="16" t="s">
        <v>408</v>
      </c>
      <c r="K57" s="16" t="s">
        <v>409</v>
      </c>
      <c r="L57" s="17" t="s">
        <v>384</v>
      </c>
      <c r="M57" s="15">
        <v>4</v>
      </c>
      <c r="N57" s="18">
        <v>0.11</v>
      </c>
      <c r="O57" s="16" t="s">
        <v>410</v>
      </c>
      <c r="P57" s="19">
        <f t="shared" si="0"/>
        <v>196794593.86360002</v>
      </c>
      <c r="Q57" s="19">
        <v>170239015</v>
      </c>
      <c r="R57" s="20">
        <v>26555578.863600016</v>
      </c>
      <c r="S57" s="21">
        <f t="shared" si="1"/>
        <v>0.15598997012288879</v>
      </c>
      <c r="U57" s="16" t="s">
        <v>411</v>
      </c>
      <c r="V57" s="16" t="s">
        <v>412</v>
      </c>
    </row>
    <row r="58" spans="3:22" ht="25.15" customHeight="1" x14ac:dyDescent="0.6">
      <c r="C58" s="12">
        <v>46079</v>
      </c>
      <c r="D58" s="24" t="s">
        <v>363</v>
      </c>
      <c r="F58" s="14" t="s">
        <v>355</v>
      </c>
      <c r="G58" s="15" t="s">
        <v>413</v>
      </c>
      <c r="H58" s="16" t="s">
        <v>414</v>
      </c>
      <c r="I58" s="17" t="s">
        <v>415</v>
      </c>
      <c r="J58" s="16" t="s">
        <v>416</v>
      </c>
      <c r="K58" s="16" t="s">
        <v>417</v>
      </c>
      <c r="L58" s="17" t="s">
        <v>418</v>
      </c>
      <c r="M58" s="15">
        <v>1</v>
      </c>
      <c r="N58" s="18">
        <v>0.09</v>
      </c>
      <c r="O58" s="16" t="s">
        <v>419</v>
      </c>
      <c r="P58" s="19">
        <f t="shared" si="0"/>
        <v>204820460.4152</v>
      </c>
      <c r="Q58" s="19">
        <v>171426255</v>
      </c>
      <c r="R58" s="20">
        <v>33394205.415199999</v>
      </c>
      <c r="S58" s="21">
        <f t="shared" si="1"/>
        <v>0.19480216385290572</v>
      </c>
      <c r="U58" s="16" t="s">
        <v>420</v>
      </c>
      <c r="V58" s="16" t="s">
        <v>421</v>
      </c>
    </row>
    <row r="59" spans="3:22" ht="25.15" customHeight="1" x14ac:dyDescent="0.6">
      <c r="C59" s="12">
        <v>46080</v>
      </c>
      <c r="D59" s="24" t="s">
        <v>363</v>
      </c>
      <c r="F59" s="14" t="s">
        <v>355</v>
      </c>
      <c r="G59" s="15" t="s">
        <v>422</v>
      </c>
      <c r="H59" s="16" t="s">
        <v>423</v>
      </c>
      <c r="I59" s="17" t="s">
        <v>415</v>
      </c>
      <c r="J59" s="16" t="s">
        <v>424</v>
      </c>
      <c r="K59" s="16" t="s">
        <v>425</v>
      </c>
      <c r="L59" s="17" t="s">
        <v>418</v>
      </c>
      <c r="M59" s="15">
        <v>2</v>
      </c>
      <c r="N59" s="18">
        <v>0.14000000000000001</v>
      </c>
      <c r="O59" s="16" t="s">
        <v>426</v>
      </c>
      <c r="P59" s="19">
        <f t="shared" si="0"/>
        <v>208561164.86359999</v>
      </c>
      <c r="Q59" s="19">
        <v>175662502</v>
      </c>
      <c r="R59" s="20">
        <v>32898662.863599993</v>
      </c>
      <c r="S59" s="21">
        <f t="shared" si="1"/>
        <v>0.18728335580464403</v>
      </c>
      <c r="U59" s="16" t="s">
        <v>427</v>
      </c>
      <c r="V59" s="16" t="s">
        <v>428</v>
      </c>
    </row>
    <row r="60" spans="3:22" ht="25.15" customHeight="1" x14ac:dyDescent="0.6">
      <c r="C60" s="12">
        <v>46081</v>
      </c>
      <c r="D60" s="24" t="s">
        <v>429</v>
      </c>
      <c r="F60" s="14" t="s">
        <v>355</v>
      </c>
      <c r="G60" s="15" t="s">
        <v>430</v>
      </c>
      <c r="H60" s="16" t="s">
        <v>431</v>
      </c>
      <c r="I60" s="17" t="s">
        <v>432</v>
      </c>
      <c r="J60" s="16" t="s">
        <v>433</v>
      </c>
      <c r="K60" s="16" t="s">
        <v>434</v>
      </c>
      <c r="L60" s="17" t="s">
        <v>418</v>
      </c>
      <c r="M60" s="15">
        <v>3</v>
      </c>
      <c r="N60" s="18">
        <v>0.18</v>
      </c>
      <c r="O60" s="16" t="s">
        <v>435</v>
      </c>
      <c r="P60" s="19">
        <f t="shared" si="0"/>
        <v>204861228.43380001</v>
      </c>
      <c r="Q60" s="19">
        <v>176638284</v>
      </c>
      <c r="R60" s="20">
        <v>28222944.433800004</v>
      </c>
      <c r="S60" s="21">
        <f t="shared" si="1"/>
        <v>0.15977818508359154</v>
      </c>
      <c r="U60" s="16" t="s">
        <v>436</v>
      </c>
      <c r="V60" s="16" t="s">
        <v>437</v>
      </c>
    </row>
    <row r="61" spans="3:22" ht="25.15" customHeight="1" x14ac:dyDescent="0.6">
      <c r="C61" s="12">
        <v>46082</v>
      </c>
      <c r="D61" s="24" t="s">
        <v>438</v>
      </c>
      <c r="F61" s="14" t="s">
        <v>355</v>
      </c>
      <c r="G61" s="15" t="s">
        <v>439</v>
      </c>
      <c r="H61" s="16" t="s">
        <v>440</v>
      </c>
      <c r="I61" s="17" t="s">
        <v>441</v>
      </c>
      <c r="J61" s="16" t="s">
        <v>442</v>
      </c>
      <c r="K61" s="16" t="s">
        <v>443</v>
      </c>
      <c r="L61" s="17" t="s">
        <v>418</v>
      </c>
      <c r="M61" s="15">
        <v>4</v>
      </c>
      <c r="N61" s="18">
        <v>0.18</v>
      </c>
      <c r="O61" s="16" t="s">
        <v>444</v>
      </c>
      <c r="P61" s="19">
        <f t="shared" si="0"/>
        <v>204846280.59948</v>
      </c>
      <c r="Q61" s="19">
        <v>176638284</v>
      </c>
      <c r="R61" s="20">
        <v>28207996.599480007</v>
      </c>
      <c r="S61" s="21">
        <f t="shared" si="1"/>
        <v>0.15969356110524718</v>
      </c>
      <c r="U61" s="16" t="s">
        <v>445</v>
      </c>
      <c r="V61" s="16" t="s">
        <v>446</v>
      </c>
    </row>
    <row r="62" spans="3:22" ht="25.15" customHeight="1" x14ac:dyDescent="0.6">
      <c r="C62" s="12">
        <v>46083</v>
      </c>
      <c r="D62" s="24" t="s">
        <v>447</v>
      </c>
      <c r="F62" s="14" t="s">
        <v>355</v>
      </c>
      <c r="G62" s="15" t="s">
        <v>448</v>
      </c>
      <c r="H62" s="16" t="s">
        <v>449</v>
      </c>
      <c r="I62" s="17" t="s">
        <v>450</v>
      </c>
      <c r="J62" s="16" t="s">
        <v>451</v>
      </c>
      <c r="K62" s="16" t="s">
        <v>452</v>
      </c>
      <c r="L62" s="17" t="s">
        <v>418</v>
      </c>
      <c r="M62" s="15">
        <v>5</v>
      </c>
      <c r="N62" s="18">
        <v>0.18</v>
      </c>
      <c r="O62" s="16" t="s">
        <v>453</v>
      </c>
      <c r="P62" s="19">
        <f t="shared" si="0"/>
        <v>204852490.81084001</v>
      </c>
      <c r="Q62" s="19">
        <v>176638284</v>
      </c>
      <c r="R62" s="20">
        <v>28214206.810840003</v>
      </c>
      <c r="S62" s="21">
        <f t="shared" si="1"/>
        <v>0.15972871889335158</v>
      </c>
      <c r="U62" s="16" t="s">
        <v>454</v>
      </c>
      <c r="V62" s="16" t="s">
        <v>455</v>
      </c>
    </row>
    <row r="63" spans="3:22" ht="25.15" customHeight="1" x14ac:dyDescent="0.6">
      <c r="C63" s="12">
        <v>46084</v>
      </c>
      <c r="D63" s="24" t="s">
        <v>456</v>
      </c>
      <c r="F63" s="14" t="s">
        <v>355</v>
      </c>
      <c r="G63" s="15" t="s">
        <v>457</v>
      </c>
      <c r="H63" s="16" t="s">
        <v>458</v>
      </c>
      <c r="I63" s="17" t="s">
        <v>459</v>
      </c>
      <c r="J63" s="16" t="s">
        <v>460</v>
      </c>
      <c r="K63" s="16" t="s">
        <v>461</v>
      </c>
      <c r="L63" s="17" t="s">
        <v>418</v>
      </c>
      <c r="M63" s="15">
        <v>6</v>
      </c>
      <c r="N63" s="18">
        <v>0.25</v>
      </c>
      <c r="O63" s="16" t="s">
        <v>462</v>
      </c>
      <c r="P63" s="19">
        <f t="shared" si="0"/>
        <v>193737403.39545</v>
      </c>
      <c r="Q63" s="19">
        <v>164124558</v>
      </c>
      <c r="R63" s="20">
        <v>29612845.395450007</v>
      </c>
      <c r="S63" s="21">
        <f t="shared" si="1"/>
        <v>0.18042909456274062</v>
      </c>
      <c r="U63" s="16" t="s">
        <v>463</v>
      </c>
      <c r="V63" s="16" t="s">
        <v>464</v>
      </c>
    </row>
    <row r="64" spans="3:22" ht="25.15" customHeight="1" x14ac:dyDescent="0.6">
      <c r="C64" s="12">
        <v>46085</v>
      </c>
      <c r="D64" s="24" t="s">
        <v>465</v>
      </c>
      <c r="F64" s="14" t="s">
        <v>355</v>
      </c>
      <c r="G64" s="15" t="s">
        <v>466</v>
      </c>
      <c r="H64" s="16" t="s">
        <v>467</v>
      </c>
      <c r="I64" s="17" t="s">
        <v>468</v>
      </c>
      <c r="J64" s="16" t="s">
        <v>469</v>
      </c>
      <c r="K64" s="16" t="s">
        <v>470</v>
      </c>
      <c r="L64" s="17" t="s">
        <v>418</v>
      </c>
      <c r="M64" s="15">
        <v>7</v>
      </c>
      <c r="N64" s="18">
        <v>0.35</v>
      </c>
      <c r="O64" s="16" t="s">
        <v>471</v>
      </c>
      <c r="P64" s="19">
        <f t="shared" si="0"/>
        <v>180699300.289895</v>
      </c>
      <c r="Q64" s="19">
        <v>164124558</v>
      </c>
      <c r="R64" s="20">
        <v>16574742.289894994</v>
      </c>
      <c r="S64" s="21">
        <f t="shared" si="1"/>
        <v>0.10098880077346496</v>
      </c>
      <c r="U64" s="16" t="s">
        <v>472</v>
      </c>
      <c r="V64" s="16" t="s">
        <v>473</v>
      </c>
    </row>
    <row r="65" spans="3:22" ht="25.15" customHeight="1" x14ac:dyDescent="0.6">
      <c r="C65" s="12">
        <v>46086</v>
      </c>
      <c r="D65" s="24" t="s">
        <v>474</v>
      </c>
      <c r="F65" s="14" t="s">
        <v>355</v>
      </c>
      <c r="G65" s="15" t="s">
        <v>475</v>
      </c>
      <c r="H65" s="16" t="s">
        <v>476</v>
      </c>
      <c r="I65" s="17" t="s">
        <v>477</v>
      </c>
      <c r="J65" s="16" t="s">
        <v>478</v>
      </c>
      <c r="K65" s="16" t="s">
        <v>479</v>
      </c>
      <c r="L65" s="17" t="s">
        <v>418</v>
      </c>
      <c r="M65" s="15">
        <v>8</v>
      </c>
      <c r="N65" s="18">
        <v>0.35</v>
      </c>
      <c r="O65" s="16" t="s">
        <v>480</v>
      </c>
      <c r="P65" s="19">
        <f t="shared" si="0"/>
        <v>196323301.51206198</v>
      </c>
      <c r="Q65" s="19">
        <v>176873792</v>
      </c>
      <c r="R65" s="20">
        <v>19449509.512061995</v>
      </c>
      <c r="S65" s="21">
        <f t="shared" si="1"/>
        <v>0.10996264224414884</v>
      </c>
      <c r="U65" s="16" t="s">
        <v>481</v>
      </c>
      <c r="V65" s="16" t="s">
        <v>482</v>
      </c>
    </row>
    <row r="66" spans="3:22" ht="25.15" customHeight="1" x14ac:dyDescent="0.6">
      <c r="C66" s="12">
        <v>46087</v>
      </c>
      <c r="D66" s="24" t="s">
        <v>456</v>
      </c>
      <c r="F66" s="14" t="s">
        <v>355</v>
      </c>
      <c r="G66" s="15" t="s">
        <v>483</v>
      </c>
      <c r="I66" s="17" t="s">
        <v>484</v>
      </c>
      <c r="J66" s="16" t="s">
        <v>485</v>
      </c>
      <c r="K66" s="16" t="s">
        <v>486</v>
      </c>
      <c r="L66" s="17" t="s">
        <v>418</v>
      </c>
      <c r="M66" s="15">
        <v>9</v>
      </c>
      <c r="N66" s="18">
        <v>0.35</v>
      </c>
      <c r="O66" s="16" t="s">
        <v>286</v>
      </c>
      <c r="P66" s="19">
        <f t="shared" si="0"/>
        <v>195559282.31060001</v>
      </c>
      <c r="Q66" s="19">
        <v>182597501</v>
      </c>
      <c r="R66" s="20">
        <v>12961781.310600007</v>
      </c>
      <c r="S66" s="21">
        <f t="shared" si="1"/>
        <v>7.098553506819355E-2</v>
      </c>
      <c r="U66" s="16" t="s">
        <v>487</v>
      </c>
      <c r="V66" s="16" t="s">
        <v>488</v>
      </c>
    </row>
    <row r="67" spans="3:22" ht="25.15" customHeight="1" x14ac:dyDescent="0.6">
      <c r="C67" s="12">
        <v>46091</v>
      </c>
      <c r="D67" s="24" t="s">
        <v>456</v>
      </c>
      <c r="F67" s="14" t="s">
        <v>355</v>
      </c>
      <c r="G67" s="15" t="s">
        <v>489</v>
      </c>
      <c r="H67" s="17" t="s">
        <v>490</v>
      </c>
      <c r="I67" s="17" t="s">
        <v>491</v>
      </c>
      <c r="J67" s="16" t="s">
        <v>492</v>
      </c>
      <c r="K67" s="16" t="s">
        <v>493</v>
      </c>
      <c r="L67" s="17" t="s">
        <v>494</v>
      </c>
      <c r="M67" s="15">
        <v>1</v>
      </c>
      <c r="N67" s="18">
        <v>0</v>
      </c>
      <c r="O67" s="16" t="s">
        <v>495</v>
      </c>
      <c r="P67" s="19">
        <f t="shared" ref="P67:P125" si="2">Q67+R67</f>
        <v>135050078.59704</v>
      </c>
      <c r="Q67" s="19">
        <v>128088446</v>
      </c>
      <c r="R67" s="20">
        <v>6961632.5970400041</v>
      </c>
      <c r="S67" s="21">
        <f t="shared" ref="S67:S125" si="3">R67/Q67</f>
        <v>5.4350199525724625E-2</v>
      </c>
      <c r="U67" s="16" t="s">
        <v>496</v>
      </c>
      <c r="V67" s="16" t="s">
        <v>497</v>
      </c>
    </row>
    <row r="68" spans="3:22" ht="25.15" customHeight="1" x14ac:dyDescent="0.6">
      <c r="C68" s="12">
        <v>46094</v>
      </c>
      <c r="D68" s="24" t="s">
        <v>438</v>
      </c>
      <c r="F68" s="14" t="s">
        <v>355</v>
      </c>
      <c r="G68" s="15" t="s">
        <v>498</v>
      </c>
      <c r="H68" s="16" t="s">
        <v>499</v>
      </c>
      <c r="I68" s="17" t="s">
        <v>500</v>
      </c>
      <c r="J68" s="16" t="s">
        <v>501</v>
      </c>
      <c r="K68" s="16" t="s">
        <v>502</v>
      </c>
      <c r="L68" s="17" t="s">
        <v>494</v>
      </c>
      <c r="M68" s="15">
        <v>2</v>
      </c>
      <c r="N68" s="18">
        <v>0.24</v>
      </c>
      <c r="O68" s="16" t="s">
        <v>503</v>
      </c>
      <c r="P68" s="19">
        <f t="shared" si="2"/>
        <v>142560165.28529999</v>
      </c>
      <c r="Q68" s="19">
        <v>131663052</v>
      </c>
      <c r="R68" s="20">
        <v>10897113.285299996</v>
      </c>
      <c r="S68" s="21">
        <f t="shared" si="3"/>
        <v>8.2765157876637976E-2</v>
      </c>
      <c r="U68" s="16" t="s">
        <v>504</v>
      </c>
      <c r="V68" s="16" t="s">
        <v>505</v>
      </c>
    </row>
    <row r="69" spans="3:22" ht="25.15" customHeight="1" x14ac:dyDescent="0.6">
      <c r="C69" s="12">
        <v>46098</v>
      </c>
      <c r="D69" s="24" t="s">
        <v>456</v>
      </c>
      <c r="F69" s="14" t="s">
        <v>355</v>
      </c>
      <c r="G69" s="15" t="s">
        <v>506</v>
      </c>
      <c r="H69" s="16" t="s">
        <v>507</v>
      </c>
      <c r="I69" s="17" t="s">
        <v>508</v>
      </c>
      <c r="J69" s="16" t="s">
        <v>509</v>
      </c>
      <c r="K69" s="16" t="s">
        <v>510</v>
      </c>
      <c r="L69" s="17" t="s">
        <v>494</v>
      </c>
      <c r="M69" s="15">
        <v>3</v>
      </c>
      <c r="N69" s="18">
        <v>0.26</v>
      </c>
      <c r="O69" s="16" t="s">
        <v>511</v>
      </c>
      <c r="P69" s="19">
        <f t="shared" si="2"/>
        <v>148148092.03299999</v>
      </c>
      <c r="Q69" s="19">
        <v>131663052</v>
      </c>
      <c r="R69" s="20">
        <v>16485040.033000004</v>
      </c>
      <c r="S69" s="21">
        <f t="shared" si="3"/>
        <v>0.1252062730020872</v>
      </c>
      <c r="V69" s="16" t="s">
        <v>512</v>
      </c>
    </row>
    <row r="70" spans="3:22" ht="25.15" customHeight="1" x14ac:dyDescent="0.6">
      <c r="C70" s="12">
        <v>46099</v>
      </c>
      <c r="D70" s="24" t="s">
        <v>456</v>
      </c>
      <c r="F70" s="14" t="s">
        <v>355</v>
      </c>
      <c r="G70" s="15" t="s">
        <v>513</v>
      </c>
      <c r="I70" s="17" t="s">
        <v>514</v>
      </c>
      <c r="J70" s="16" t="s">
        <v>515</v>
      </c>
      <c r="K70" s="16" t="s">
        <v>516</v>
      </c>
      <c r="L70" s="17" t="s">
        <v>494</v>
      </c>
      <c r="M70" s="15">
        <v>4</v>
      </c>
      <c r="N70" s="18">
        <v>0.26</v>
      </c>
      <c r="O70" s="16" t="s">
        <v>517</v>
      </c>
      <c r="P70" s="19">
        <f t="shared" si="2"/>
        <v>153622722.57086</v>
      </c>
      <c r="Q70" s="19">
        <v>131663052</v>
      </c>
      <c r="R70" s="20">
        <v>21959670.570860002</v>
      </c>
      <c r="S70" s="21">
        <f t="shared" si="3"/>
        <v>0.16678688696096763</v>
      </c>
    </row>
    <row r="71" spans="3:22" ht="25.15" customHeight="1" x14ac:dyDescent="0.6">
      <c r="C71" s="12">
        <v>46101</v>
      </c>
      <c r="D71" s="24" t="s">
        <v>456</v>
      </c>
      <c r="F71" s="14" t="s">
        <v>355</v>
      </c>
      <c r="G71" s="15" t="s">
        <v>518</v>
      </c>
      <c r="I71" s="17" t="s">
        <v>519</v>
      </c>
      <c r="J71" s="16" t="s">
        <v>520</v>
      </c>
      <c r="K71" s="16" t="s">
        <v>521</v>
      </c>
      <c r="L71" s="17" t="s">
        <v>494</v>
      </c>
      <c r="M71" s="15">
        <v>5</v>
      </c>
      <c r="N71" s="18">
        <v>0.26</v>
      </c>
      <c r="O71" s="16" t="s">
        <v>522</v>
      </c>
      <c r="P71" s="19">
        <f t="shared" si="2"/>
        <v>153622722.57086</v>
      </c>
      <c r="Q71" s="19">
        <v>131663052</v>
      </c>
      <c r="R71" s="20">
        <v>21959670.570860002</v>
      </c>
      <c r="S71" s="21">
        <f t="shared" si="3"/>
        <v>0.16678688696096763</v>
      </c>
      <c r="U71" s="17" t="s">
        <v>523</v>
      </c>
    </row>
    <row r="72" spans="3:22" ht="25.15" customHeight="1" x14ac:dyDescent="0.6">
      <c r="C72" s="12">
        <v>46104</v>
      </c>
      <c r="D72" s="24" t="s">
        <v>524</v>
      </c>
      <c r="F72" s="14" t="s">
        <v>355</v>
      </c>
      <c r="G72" s="15" t="s">
        <v>525</v>
      </c>
      <c r="I72" s="17" t="s">
        <v>526</v>
      </c>
      <c r="J72" s="16" t="s">
        <v>527</v>
      </c>
      <c r="K72" s="16" t="s">
        <v>528</v>
      </c>
      <c r="L72" s="17" t="s">
        <v>494</v>
      </c>
      <c r="M72" s="15">
        <v>6</v>
      </c>
      <c r="N72" s="18">
        <v>0.39</v>
      </c>
      <c r="O72" s="16" t="s">
        <v>529</v>
      </c>
      <c r="P72" s="19">
        <f t="shared" si="2"/>
        <v>136948163.56832999</v>
      </c>
      <c r="Q72" s="19">
        <v>122246025</v>
      </c>
      <c r="R72" s="20">
        <v>14702138.568329999</v>
      </c>
      <c r="S72" s="21">
        <f t="shared" si="3"/>
        <v>0.12026680269014882</v>
      </c>
      <c r="U72" s="17" t="s">
        <v>523</v>
      </c>
    </row>
    <row r="73" spans="3:22" ht="25.15" customHeight="1" x14ac:dyDescent="0.6">
      <c r="C73" s="12">
        <v>46107</v>
      </c>
      <c r="D73" s="24" t="s">
        <v>530</v>
      </c>
      <c r="F73" s="14" t="s">
        <v>355</v>
      </c>
      <c r="G73" s="15" t="s">
        <v>531</v>
      </c>
      <c r="I73" s="17" t="s">
        <v>532</v>
      </c>
      <c r="J73" s="16" t="s">
        <v>533</v>
      </c>
      <c r="K73" s="16" t="s">
        <v>534</v>
      </c>
      <c r="L73" s="17" t="s">
        <v>494</v>
      </c>
      <c r="M73" s="15">
        <v>7</v>
      </c>
      <c r="N73" s="18">
        <v>0.39</v>
      </c>
      <c r="O73" s="16" t="s">
        <v>522</v>
      </c>
      <c r="P73" s="19">
        <f t="shared" si="2"/>
        <v>133446933.23126</v>
      </c>
      <c r="Q73" s="19">
        <v>122246025</v>
      </c>
      <c r="R73" s="20">
        <v>11200908.231260004</v>
      </c>
      <c r="S73" s="21">
        <f t="shared" si="3"/>
        <v>9.1625950465546863E-2</v>
      </c>
      <c r="V73" s="17" t="s">
        <v>535</v>
      </c>
    </row>
    <row r="74" spans="3:22" ht="25.15" customHeight="1" x14ac:dyDescent="0.6">
      <c r="C74" s="12">
        <v>46114</v>
      </c>
      <c r="D74" s="24" t="s">
        <v>536</v>
      </c>
      <c r="F74" s="14" t="s">
        <v>355</v>
      </c>
      <c r="G74" s="15" t="s">
        <v>537</v>
      </c>
      <c r="H74" s="16" t="s">
        <v>538</v>
      </c>
      <c r="I74" s="17" t="s">
        <v>539</v>
      </c>
      <c r="J74" s="16" t="s">
        <v>540</v>
      </c>
      <c r="K74" s="16" t="s">
        <v>541</v>
      </c>
      <c r="L74" s="17" t="s">
        <v>494</v>
      </c>
      <c r="M74" s="15">
        <v>8</v>
      </c>
      <c r="N74" s="18">
        <v>0.39</v>
      </c>
      <c r="O74" s="16" t="s">
        <v>542</v>
      </c>
      <c r="P74" s="19">
        <f t="shared" si="2"/>
        <v>149727307.34492999</v>
      </c>
      <c r="Q74" s="19">
        <v>142828275</v>
      </c>
      <c r="R74" s="20">
        <v>6899032.3449300015</v>
      </c>
      <c r="S74" s="21">
        <f t="shared" si="3"/>
        <v>4.8302987240656667E-2</v>
      </c>
      <c r="V74" s="16" t="s">
        <v>543</v>
      </c>
    </row>
    <row r="75" spans="3:22" ht="25.15" customHeight="1" x14ac:dyDescent="0.6">
      <c r="C75" s="12">
        <v>46115</v>
      </c>
      <c r="D75" s="24" t="s">
        <v>456</v>
      </c>
      <c r="F75" s="14" t="s">
        <v>355</v>
      </c>
      <c r="G75" s="15" t="s">
        <v>544</v>
      </c>
      <c r="H75" s="16" t="s">
        <v>545</v>
      </c>
      <c r="I75" s="17" t="s">
        <v>546</v>
      </c>
      <c r="J75" s="16" t="s">
        <v>547</v>
      </c>
      <c r="K75" s="16" t="s">
        <v>548</v>
      </c>
      <c r="L75" s="17" t="s">
        <v>494</v>
      </c>
      <c r="M75" s="15">
        <v>9</v>
      </c>
      <c r="N75" s="18">
        <v>0.39</v>
      </c>
      <c r="O75" s="16" t="s">
        <v>549</v>
      </c>
      <c r="P75" s="19">
        <f t="shared" si="2"/>
        <v>149820073.31569999</v>
      </c>
      <c r="Q75" s="19">
        <v>142828275</v>
      </c>
      <c r="R75" s="20">
        <v>6991798.3157000076</v>
      </c>
      <c r="S75" s="21">
        <f t="shared" si="3"/>
        <v>4.8952480282353113E-2</v>
      </c>
      <c r="V75" s="16" t="s">
        <v>550</v>
      </c>
    </row>
    <row r="76" spans="3:22" ht="25.15" customHeight="1" x14ac:dyDescent="0.6">
      <c r="C76" s="12">
        <v>46116</v>
      </c>
      <c r="D76" s="24" t="s">
        <v>456</v>
      </c>
      <c r="F76" s="14" t="s">
        <v>355</v>
      </c>
      <c r="G76" s="15" t="s">
        <v>551</v>
      </c>
      <c r="H76" s="16" t="s">
        <v>552</v>
      </c>
      <c r="I76" s="17" t="s">
        <v>553</v>
      </c>
      <c r="J76" s="16" t="s">
        <v>554</v>
      </c>
      <c r="K76" s="16" t="s">
        <v>555</v>
      </c>
      <c r="L76" s="17" t="s">
        <v>494</v>
      </c>
      <c r="M76" s="15">
        <v>10</v>
      </c>
      <c r="N76" s="18">
        <v>0.5</v>
      </c>
      <c r="O76" s="16" t="s">
        <v>556</v>
      </c>
      <c r="P76" s="19">
        <f t="shared" si="2"/>
        <v>151108238.96205002</v>
      </c>
      <c r="Q76" s="19">
        <v>142828275</v>
      </c>
      <c r="R76" s="20">
        <v>8279963.9620500086</v>
      </c>
      <c r="S76" s="21">
        <f t="shared" si="3"/>
        <v>5.7971462317597887E-2</v>
      </c>
      <c r="V76" s="16" t="s">
        <v>557</v>
      </c>
    </row>
    <row r="77" spans="3:22" ht="25.15" customHeight="1" x14ac:dyDescent="0.6">
      <c r="C77" s="12">
        <v>46120</v>
      </c>
      <c r="D77" s="24" t="s">
        <v>456</v>
      </c>
      <c r="F77" s="14" t="s">
        <v>355</v>
      </c>
      <c r="G77" s="15" t="s">
        <v>558</v>
      </c>
      <c r="I77" s="17" t="s">
        <v>553</v>
      </c>
      <c r="J77" s="16" t="s">
        <v>559</v>
      </c>
      <c r="K77" s="16" t="s">
        <v>560</v>
      </c>
      <c r="L77" s="17" t="s">
        <v>494</v>
      </c>
      <c r="M77" s="15">
        <v>11</v>
      </c>
      <c r="N77" s="18">
        <v>0.5</v>
      </c>
      <c r="O77" s="16" t="s">
        <v>561</v>
      </c>
      <c r="P77" s="19">
        <f t="shared" si="2"/>
        <v>151108238.96205002</v>
      </c>
      <c r="Q77" s="19">
        <v>142828275</v>
      </c>
      <c r="R77" s="20">
        <v>8279963.9620500086</v>
      </c>
      <c r="S77" s="21">
        <f t="shared" si="3"/>
        <v>5.7971462317597887E-2</v>
      </c>
    </row>
    <row r="78" spans="3:22" ht="25.15" customHeight="1" x14ac:dyDescent="0.6">
      <c r="C78" s="12">
        <v>46122</v>
      </c>
      <c r="D78" s="24" t="s">
        <v>562</v>
      </c>
      <c r="F78" s="14" t="s">
        <v>355</v>
      </c>
      <c r="G78" s="15" t="s">
        <v>563</v>
      </c>
      <c r="H78" s="16" t="s">
        <v>564</v>
      </c>
      <c r="I78" s="17" t="s">
        <v>553</v>
      </c>
      <c r="J78" s="16" t="s">
        <v>565</v>
      </c>
      <c r="K78" s="16" t="s">
        <v>566</v>
      </c>
      <c r="L78" s="17" t="s">
        <v>494</v>
      </c>
      <c r="M78" s="15">
        <v>12</v>
      </c>
      <c r="N78" s="18">
        <v>0.56999999999999995</v>
      </c>
      <c r="O78" s="16" t="s">
        <v>567</v>
      </c>
      <c r="P78" s="19">
        <f t="shared" si="2"/>
        <v>169076136.715956</v>
      </c>
      <c r="Q78" s="19">
        <v>144052263</v>
      </c>
      <c r="R78" s="20">
        <v>25023873.715956002</v>
      </c>
      <c r="S78" s="21">
        <f t="shared" si="3"/>
        <v>0.17371385353353319</v>
      </c>
      <c r="V78" s="16" t="s">
        <v>568</v>
      </c>
    </row>
    <row r="79" spans="3:22" ht="25.15" customHeight="1" x14ac:dyDescent="0.6">
      <c r="C79" s="12">
        <v>46123</v>
      </c>
      <c r="D79" s="24" t="s">
        <v>456</v>
      </c>
      <c r="F79" s="14" t="s">
        <v>355</v>
      </c>
      <c r="G79" s="15" t="s">
        <v>569</v>
      </c>
      <c r="H79" s="16" t="s">
        <v>570</v>
      </c>
      <c r="I79" s="17" t="s">
        <v>571</v>
      </c>
      <c r="J79" s="16" t="s">
        <v>572</v>
      </c>
      <c r="K79" s="16" t="s">
        <v>573</v>
      </c>
      <c r="L79" s="17" t="s">
        <v>494</v>
      </c>
      <c r="M79" s="15">
        <v>13</v>
      </c>
      <c r="N79" s="18">
        <v>0.56999999999999995</v>
      </c>
      <c r="O79" s="16" t="s">
        <v>574</v>
      </c>
      <c r="P79" s="19">
        <f t="shared" si="2"/>
        <v>171525236.33126</v>
      </c>
      <c r="Q79" s="19">
        <v>144052263</v>
      </c>
      <c r="R79" s="20">
        <v>27472973.331260007</v>
      </c>
      <c r="S79" s="21">
        <f t="shared" si="3"/>
        <v>0.19071531928144722</v>
      </c>
      <c r="V79" s="16" t="s">
        <v>575</v>
      </c>
    </row>
    <row r="80" spans="3:22" ht="25.15" customHeight="1" x14ac:dyDescent="0.6">
      <c r="C80" s="12">
        <v>46124</v>
      </c>
      <c r="D80" s="24" t="s">
        <v>456</v>
      </c>
      <c r="F80" s="14" t="s">
        <v>355</v>
      </c>
      <c r="G80" s="15" t="s">
        <v>576</v>
      </c>
      <c r="H80" s="16" t="s">
        <v>577</v>
      </c>
      <c r="I80" s="17" t="s">
        <v>578</v>
      </c>
      <c r="J80" s="16" t="s">
        <v>579</v>
      </c>
      <c r="K80" s="16" t="s">
        <v>580</v>
      </c>
      <c r="L80" s="17" t="s">
        <v>494</v>
      </c>
      <c r="M80" s="15">
        <v>14</v>
      </c>
      <c r="N80" s="18">
        <v>0.64</v>
      </c>
      <c r="O80" s="16" t="s">
        <v>581</v>
      </c>
      <c r="P80" s="19">
        <f t="shared" si="2"/>
        <v>171525236.33126</v>
      </c>
      <c r="Q80" s="19">
        <v>144052263</v>
      </c>
      <c r="R80" s="20">
        <v>27472973.331260007</v>
      </c>
      <c r="S80" s="21">
        <f t="shared" si="3"/>
        <v>0.19071531928144722</v>
      </c>
      <c r="V80" s="16" t="s">
        <v>582</v>
      </c>
    </row>
    <row r="81" spans="3:22" ht="25.15" customHeight="1" x14ac:dyDescent="0.6">
      <c r="C81" s="12">
        <v>46125</v>
      </c>
      <c r="D81" s="24" t="s">
        <v>456</v>
      </c>
      <c r="F81" s="14" t="s">
        <v>355</v>
      </c>
      <c r="G81" s="15" t="s">
        <v>583</v>
      </c>
      <c r="I81" s="17" t="s">
        <v>584</v>
      </c>
      <c r="J81" s="16" t="s">
        <v>585</v>
      </c>
      <c r="K81" s="16" t="s">
        <v>586</v>
      </c>
      <c r="L81" s="17" t="s">
        <v>494</v>
      </c>
      <c r="M81" s="15">
        <v>15</v>
      </c>
      <c r="N81" s="18">
        <v>0.64</v>
      </c>
      <c r="O81" s="16" t="s">
        <v>587</v>
      </c>
      <c r="P81" s="19">
        <f t="shared" si="2"/>
        <v>171051582.49526399</v>
      </c>
      <c r="Q81" s="25">
        <v>144052263</v>
      </c>
      <c r="R81" s="20">
        <v>26999319.495264005</v>
      </c>
      <c r="S81" s="21">
        <f t="shared" si="3"/>
        <v>0.18742724989515788</v>
      </c>
    </row>
    <row r="82" spans="3:22" ht="25.15" customHeight="1" x14ac:dyDescent="0.6">
      <c r="C82" s="12">
        <v>46126</v>
      </c>
      <c r="D82" s="24" t="s">
        <v>588</v>
      </c>
      <c r="F82" s="14" t="s">
        <v>355</v>
      </c>
      <c r="G82" s="15" t="s">
        <v>589</v>
      </c>
      <c r="H82" s="17" t="s">
        <v>590</v>
      </c>
      <c r="I82" s="17" t="s">
        <v>591</v>
      </c>
      <c r="J82" s="16" t="s">
        <v>592</v>
      </c>
      <c r="K82" s="16" t="s">
        <v>593</v>
      </c>
      <c r="L82" s="17" t="s">
        <v>494</v>
      </c>
      <c r="M82" s="15">
        <v>16</v>
      </c>
      <c r="N82" s="18">
        <v>0.72</v>
      </c>
      <c r="O82" s="16" t="s">
        <v>594</v>
      </c>
      <c r="P82" s="19">
        <f t="shared" si="2"/>
        <v>177817376.53148401</v>
      </c>
      <c r="Q82" s="25">
        <v>144052263</v>
      </c>
      <c r="R82" s="20">
        <v>33765113.531484008</v>
      </c>
      <c r="S82" s="21">
        <f t="shared" si="3"/>
        <v>0.23439488438639808</v>
      </c>
      <c r="V82" s="17" t="s">
        <v>595</v>
      </c>
    </row>
    <row r="83" spans="3:22" ht="25.15" customHeight="1" x14ac:dyDescent="0.6">
      <c r="C83" s="12">
        <v>46127</v>
      </c>
      <c r="D83" s="24" t="s">
        <v>596</v>
      </c>
      <c r="F83" s="14" t="s">
        <v>355</v>
      </c>
      <c r="G83" s="15" t="s">
        <v>597</v>
      </c>
      <c r="H83" s="16" t="s">
        <v>598</v>
      </c>
      <c r="I83" s="17" t="s">
        <v>599</v>
      </c>
      <c r="J83" s="16" t="s">
        <v>600</v>
      </c>
      <c r="K83" s="16" t="s">
        <v>601</v>
      </c>
      <c r="L83" s="17" t="s">
        <v>602</v>
      </c>
      <c r="M83" s="15">
        <v>17</v>
      </c>
      <c r="N83" s="18">
        <v>0.72</v>
      </c>
      <c r="O83" s="16" t="s">
        <v>603</v>
      </c>
      <c r="P83" s="19">
        <f t="shared" si="2"/>
        <v>191021327.22298199</v>
      </c>
      <c r="Q83" s="19">
        <v>150138907</v>
      </c>
      <c r="R83" s="20">
        <v>40882420.222982004</v>
      </c>
      <c r="S83" s="21">
        <f t="shared" si="3"/>
        <v>0.27229730813866926</v>
      </c>
      <c r="V83" s="16" t="s">
        <v>604</v>
      </c>
    </row>
    <row r="84" spans="3:22" ht="25.15" customHeight="1" x14ac:dyDescent="0.6">
      <c r="C84" s="12">
        <v>46128</v>
      </c>
      <c r="D84" s="24" t="s">
        <v>605</v>
      </c>
      <c r="F84" s="14" t="s">
        <v>355</v>
      </c>
      <c r="G84" s="15" t="s">
        <v>606</v>
      </c>
      <c r="H84" s="16" t="s">
        <v>607</v>
      </c>
      <c r="I84" s="17" t="s">
        <v>608</v>
      </c>
      <c r="J84" s="16" t="s">
        <v>609</v>
      </c>
      <c r="K84" s="16" t="s">
        <v>610</v>
      </c>
      <c r="L84" s="17" t="s">
        <v>602</v>
      </c>
      <c r="M84" s="15">
        <v>18</v>
      </c>
      <c r="N84" s="18">
        <v>0.84</v>
      </c>
      <c r="O84" s="16" t="s">
        <v>611</v>
      </c>
      <c r="P84" s="19">
        <f t="shared" si="2"/>
        <v>193866312.207362</v>
      </c>
      <c r="Q84" s="19">
        <v>154082317</v>
      </c>
      <c r="R84" s="20">
        <v>39783995.207362004</v>
      </c>
      <c r="S84" s="21">
        <f t="shared" si="3"/>
        <v>0.25819961681496523</v>
      </c>
      <c r="V84" s="16" t="s">
        <v>612</v>
      </c>
    </row>
    <row r="85" spans="3:22" ht="25.15" customHeight="1" x14ac:dyDescent="0.6">
      <c r="C85" s="12">
        <v>46129</v>
      </c>
      <c r="D85" s="24" t="s">
        <v>596</v>
      </c>
      <c r="F85" s="14" t="s">
        <v>355</v>
      </c>
      <c r="G85" s="15" t="s">
        <v>613</v>
      </c>
      <c r="H85" s="16" t="s">
        <v>614</v>
      </c>
      <c r="I85" s="17" t="s">
        <v>615</v>
      </c>
      <c r="J85" s="16" t="s">
        <v>616</v>
      </c>
      <c r="K85" s="16" t="s">
        <v>617</v>
      </c>
      <c r="L85" s="17" t="s">
        <v>602</v>
      </c>
      <c r="M85" s="15">
        <v>19</v>
      </c>
      <c r="N85" s="18">
        <v>0.88</v>
      </c>
      <c r="O85" s="16" t="s">
        <v>618</v>
      </c>
      <c r="P85" s="19">
        <f t="shared" si="2"/>
        <v>202288897.46307999</v>
      </c>
      <c r="Q85" s="19">
        <v>160964875</v>
      </c>
      <c r="R85" s="20">
        <v>41324022.463080004</v>
      </c>
      <c r="S85" s="21">
        <f t="shared" si="3"/>
        <v>0.25672695650575944</v>
      </c>
      <c r="V85" s="16" t="s">
        <v>619</v>
      </c>
    </row>
    <row r="86" spans="3:22" ht="25.15" customHeight="1" x14ac:dyDescent="0.6">
      <c r="C86" s="12">
        <v>46131</v>
      </c>
      <c r="D86" s="24" t="s">
        <v>620</v>
      </c>
      <c r="F86" s="14" t="s">
        <v>355</v>
      </c>
      <c r="G86" s="15" t="s">
        <v>621</v>
      </c>
      <c r="H86" s="16" t="s">
        <v>622</v>
      </c>
      <c r="I86" s="17" t="s">
        <v>623</v>
      </c>
      <c r="J86" s="16" t="s">
        <v>624</v>
      </c>
      <c r="K86" s="16" t="s">
        <v>625</v>
      </c>
      <c r="L86" s="17" t="s">
        <v>602</v>
      </c>
      <c r="M86" s="15">
        <v>20</v>
      </c>
      <c r="N86" s="18">
        <v>1</v>
      </c>
      <c r="O86" s="16" t="s">
        <v>626</v>
      </c>
      <c r="P86" s="19">
        <f t="shared" si="2"/>
        <v>203607096.31876001</v>
      </c>
      <c r="Q86" s="19">
        <v>160964875</v>
      </c>
      <c r="R86" s="20">
        <v>42642221.318760008</v>
      </c>
      <c r="S86" s="21">
        <f t="shared" si="3"/>
        <v>0.26491631369117025</v>
      </c>
      <c r="V86" s="16" t="s">
        <v>627</v>
      </c>
    </row>
    <row r="87" spans="3:22" ht="25.15" customHeight="1" x14ac:dyDescent="0.6">
      <c r="C87" s="12">
        <v>46132</v>
      </c>
      <c r="D87" s="24" t="s">
        <v>596</v>
      </c>
      <c r="F87" s="14" t="s">
        <v>355</v>
      </c>
      <c r="G87" s="15" t="s">
        <v>628</v>
      </c>
      <c r="H87" s="16" t="s">
        <v>629</v>
      </c>
      <c r="I87" s="17" t="s">
        <v>630</v>
      </c>
      <c r="J87" s="16" t="s">
        <v>631</v>
      </c>
      <c r="K87" s="16" t="s">
        <v>632</v>
      </c>
      <c r="L87" s="17" t="s">
        <v>633</v>
      </c>
      <c r="M87" s="15">
        <v>0</v>
      </c>
      <c r="N87" s="18">
        <v>1</v>
      </c>
      <c r="O87" s="16" t="s">
        <v>634</v>
      </c>
      <c r="P87" s="19">
        <f t="shared" si="2"/>
        <v>204271639.24144003</v>
      </c>
      <c r="Q87" s="19">
        <v>160964875</v>
      </c>
      <c r="R87" s="20">
        <v>43306764.241440021</v>
      </c>
      <c r="S87" s="21">
        <f t="shared" si="3"/>
        <v>0.26904481018880683</v>
      </c>
      <c r="V87" s="16" t="s">
        <v>635</v>
      </c>
    </row>
    <row r="88" spans="3:22" ht="25.15" customHeight="1" x14ac:dyDescent="0.6">
      <c r="C88" s="12">
        <v>46133</v>
      </c>
      <c r="D88" s="24" t="s">
        <v>596</v>
      </c>
      <c r="F88" s="14" t="s">
        <v>355</v>
      </c>
      <c r="G88" s="15" t="s">
        <v>636</v>
      </c>
      <c r="H88" s="16" t="s">
        <v>637</v>
      </c>
      <c r="I88" s="17" t="s">
        <v>630</v>
      </c>
      <c r="J88" s="16" t="s">
        <v>638</v>
      </c>
      <c r="K88" s="16" t="s">
        <v>639</v>
      </c>
      <c r="L88" s="17" t="s">
        <v>633</v>
      </c>
      <c r="M88" s="15">
        <v>1</v>
      </c>
      <c r="N88" s="18">
        <v>0.14000000000000001</v>
      </c>
      <c r="O88" s="16" t="s">
        <v>640</v>
      </c>
      <c r="P88" s="19">
        <f t="shared" si="2"/>
        <v>203966393.35609001</v>
      </c>
      <c r="Q88" s="19">
        <v>161279014</v>
      </c>
      <c r="R88" s="20">
        <v>42687379.356090002</v>
      </c>
      <c r="S88" s="21">
        <f t="shared" si="3"/>
        <v>0.26468030959124045</v>
      </c>
      <c r="V88" s="16" t="s">
        <v>641</v>
      </c>
    </row>
    <row r="89" spans="3:22" ht="25.15" customHeight="1" x14ac:dyDescent="0.6">
      <c r="C89" s="12">
        <v>46134</v>
      </c>
      <c r="D89" s="24" t="s">
        <v>605</v>
      </c>
      <c r="F89" s="14" t="s">
        <v>355</v>
      </c>
      <c r="G89" s="15" t="s">
        <v>642</v>
      </c>
      <c r="H89" s="16" t="s">
        <v>643</v>
      </c>
      <c r="I89" s="17" t="s">
        <v>644</v>
      </c>
      <c r="J89" s="16" t="s">
        <v>645</v>
      </c>
      <c r="K89" s="16" t="s">
        <v>646</v>
      </c>
      <c r="L89" s="17" t="s">
        <v>633</v>
      </c>
      <c r="M89" s="15">
        <v>2</v>
      </c>
      <c r="N89" s="18">
        <v>0.36</v>
      </c>
      <c r="O89" s="16" t="s">
        <v>647</v>
      </c>
      <c r="P89" s="19">
        <f t="shared" si="2"/>
        <v>210233779.32416886</v>
      </c>
      <c r="Q89" s="19">
        <v>165203998</v>
      </c>
      <c r="R89" s="20">
        <v>45029781.324168853</v>
      </c>
      <c r="S89" s="21">
        <f t="shared" si="3"/>
        <v>0.27257077231368732</v>
      </c>
      <c r="V89" s="16" t="s">
        <v>648</v>
      </c>
    </row>
    <row r="90" spans="3:22" ht="25.15" customHeight="1" x14ac:dyDescent="0.6">
      <c r="C90" s="12">
        <v>46135</v>
      </c>
      <c r="D90" s="24" t="s">
        <v>596</v>
      </c>
      <c r="F90" s="14" t="s">
        <v>355</v>
      </c>
      <c r="G90" s="15" t="s">
        <v>649</v>
      </c>
      <c r="H90" s="16" t="s">
        <v>650</v>
      </c>
      <c r="I90" s="17" t="s">
        <v>651</v>
      </c>
      <c r="J90" s="16" t="s">
        <v>652</v>
      </c>
      <c r="K90" s="16" t="s">
        <v>653</v>
      </c>
      <c r="L90" s="17" t="s">
        <v>633</v>
      </c>
      <c r="M90" s="15">
        <v>3</v>
      </c>
      <c r="N90" s="18">
        <v>0.69</v>
      </c>
      <c r="O90" s="16" t="s">
        <v>654</v>
      </c>
      <c r="P90" s="19">
        <f t="shared" si="2"/>
        <v>230316547.18315199</v>
      </c>
      <c r="Q90" s="19">
        <v>178334434</v>
      </c>
      <c r="R90" s="20">
        <v>51982113.183151998</v>
      </c>
      <c r="S90" s="21">
        <f t="shared" si="3"/>
        <v>0.29148668609424022</v>
      </c>
      <c r="V90" s="17" t="s">
        <v>655</v>
      </c>
    </row>
    <row r="91" spans="3:22" ht="25.15" customHeight="1" x14ac:dyDescent="0.6">
      <c r="C91" s="12">
        <v>46136</v>
      </c>
      <c r="D91" s="24" t="s">
        <v>596</v>
      </c>
      <c r="F91" s="14" t="s">
        <v>355</v>
      </c>
      <c r="G91" s="15" t="s">
        <v>656</v>
      </c>
      <c r="H91" s="16" t="s">
        <v>657</v>
      </c>
      <c r="I91" s="17" t="s">
        <v>658</v>
      </c>
      <c r="J91" s="16" t="s">
        <v>659</v>
      </c>
      <c r="K91" s="16" t="s">
        <v>660</v>
      </c>
      <c r="L91" s="17" t="s">
        <v>633</v>
      </c>
      <c r="M91" s="15">
        <v>4</v>
      </c>
      <c r="N91" s="18">
        <v>1</v>
      </c>
      <c r="O91" s="16" t="s">
        <v>661</v>
      </c>
      <c r="P91" s="19">
        <f t="shared" si="2"/>
        <v>222915074.22252798</v>
      </c>
      <c r="Q91" s="19">
        <v>171757973</v>
      </c>
      <c r="R91" s="20">
        <v>51157101.222527988</v>
      </c>
      <c r="S91" s="21">
        <f t="shared" si="3"/>
        <v>0.29784411360355301</v>
      </c>
      <c r="V91" s="16" t="s">
        <v>662</v>
      </c>
    </row>
    <row r="92" spans="3:22" ht="25.15" customHeight="1" x14ac:dyDescent="0.6">
      <c r="C92" s="12">
        <v>46137</v>
      </c>
      <c r="D92" s="24" t="s">
        <v>596</v>
      </c>
      <c r="F92" s="14" t="s">
        <v>355</v>
      </c>
      <c r="G92" s="15" t="s">
        <v>663</v>
      </c>
      <c r="I92" s="17" t="s">
        <v>658</v>
      </c>
      <c r="J92" s="16" t="s">
        <v>664</v>
      </c>
      <c r="K92" s="16" t="s">
        <v>665</v>
      </c>
      <c r="M92" s="15">
        <v>0</v>
      </c>
      <c r="N92" s="18">
        <v>1</v>
      </c>
      <c r="O92" s="16" t="s">
        <v>666</v>
      </c>
      <c r="P92" s="19">
        <f t="shared" si="2"/>
        <v>227840830.08848</v>
      </c>
      <c r="Q92" s="19">
        <v>171757973</v>
      </c>
      <c r="R92" s="20">
        <v>56082857.088479996</v>
      </c>
      <c r="S92" s="21">
        <f t="shared" si="3"/>
        <v>0.32652258354539382</v>
      </c>
    </row>
    <row r="93" spans="3:22" ht="25.15" customHeight="1" x14ac:dyDescent="0.6">
      <c r="C93" s="12">
        <v>46138</v>
      </c>
      <c r="D93" s="24" t="s">
        <v>456</v>
      </c>
      <c r="F93" s="14" t="s">
        <v>355</v>
      </c>
      <c r="G93" s="15" t="s">
        <v>667</v>
      </c>
      <c r="H93" s="16" t="s">
        <v>668</v>
      </c>
      <c r="I93" s="17" t="s">
        <v>669</v>
      </c>
      <c r="J93" s="16" t="s">
        <v>670</v>
      </c>
      <c r="K93" s="16" t="s">
        <v>671</v>
      </c>
      <c r="L93" s="17" t="s">
        <v>672</v>
      </c>
      <c r="M93" s="15">
        <v>1</v>
      </c>
      <c r="N93" s="18">
        <v>0.1</v>
      </c>
      <c r="O93" s="16" t="s">
        <v>673</v>
      </c>
      <c r="P93" s="19">
        <f t="shared" si="2"/>
        <v>249873048.08848</v>
      </c>
      <c r="Q93" s="19">
        <v>193790191</v>
      </c>
      <c r="R93" s="20">
        <v>56082857.088479996</v>
      </c>
      <c r="S93" s="21">
        <f t="shared" si="3"/>
        <v>0.28939987519017407</v>
      </c>
      <c r="V93" s="16" t="s">
        <v>674</v>
      </c>
    </row>
    <row r="94" spans="3:22" ht="25.15" customHeight="1" x14ac:dyDescent="0.6">
      <c r="C94" s="12">
        <v>46139</v>
      </c>
      <c r="D94" s="24" t="s">
        <v>596</v>
      </c>
      <c r="F94" s="14" t="s">
        <v>355</v>
      </c>
      <c r="G94" s="15" t="s">
        <v>675</v>
      </c>
      <c r="H94" s="16" t="s">
        <v>676</v>
      </c>
      <c r="I94" s="17" t="s">
        <v>677</v>
      </c>
      <c r="J94" s="16" t="s">
        <v>678</v>
      </c>
      <c r="K94" s="16" t="s">
        <v>679</v>
      </c>
      <c r="L94" s="17" t="s">
        <v>680</v>
      </c>
      <c r="M94" s="15">
        <v>3</v>
      </c>
      <c r="N94" s="18">
        <v>0.1</v>
      </c>
      <c r="O94" s="16" t="s">
        <v>681</v>
      </c>
      <c r="P94" s="19">
        <f t="shared" si="2"/>
        <v>249850279.56075999</v>
      </c>
      <c r="Q94" s="19">
        <v>193790191</v>
      </c>
      <c r="R94" s="20">
        <v>56060088.560759999</v>
      </c>
      <c r="S94" s="21">
        <f t="shared" si="3"/>
        <v>0.28928238458034233</v>
      </c>
      <c r="V94" s="16" t="s">
        <v>682</v>
      </c>
    </row>
    <row r="95" spans="3:22" ht="25.15" customHeight="1" x14ac:dyDescent="0.6">
      <c r="C95" s="12">
        <v>46140</v>
      </c>
      <c r="D95" s="24" t="s">
        <v>596</v>
      </c>
      <c r="F95" s="14" t="s">
        <v>355</v>
      </c>
      <c r="G95" s="15" t="s">
        <v>683</v>
      </c>
      <c r="H95" s="16" t="s">
        <v>684</v>
      </c>
      <c r="I95" s="17" t="s">
        <v>685</v>
      </c>
      <c r="J95" s="16" t="s">
        <v>686</v>
      </c>
      <c r="K95" s="16" t="s">
        <v>687</v>
      </c>
      <c r="L95" s="17" t="s">
        <v>680</v>
      </c>
      <c r="M95" s="15">
        <v>4</v>
      </c>
      <c r="N95" s="18">
        <v>0.43</v>
      </c>
      <c r="O95" s="16" t="s">
        <v>688</v>
      </c>
      <c r="P95" s="19">
        <f t="shared" si="2"/>
        <v>268184780.10189</v>
      </c>
      <c r="Q95" s="19">
        <v>204698310</v>
      </c>
      <c r="R95" s="20">
        <v>63486470.10188999</v>
      </c>
      <c r="S95" s="21">
        <f t="shared" si="3"/>
        <v>0.31014652784329283</v>
      </c>
      <c r="V95" s="16" t="s">
        <v>689</v>
      </c>
    </row>
    <row r="96" spans="3:22" ht="25.15" customHeight="1" x14ac:dyDescent="0.6">
      <c r="C96" s="12">
        <v>46141</v>
      </c>
      <c r="D96" s="24" t="s">
        <v>596</v>
      </c>
      <c r="F96" s="14" t="s">
        <v>355</v>
      </c>
      <c r="G96" s="15" t="s">
        <v>690</v>
      </c>
      <c r="H96" s="16" t="s">
        <v>691</v>
      </c>
      <c r="I96" s="17" t="s">
        <v>685</v>
      </c>
      <c r="J96" s="16" t="s">
        <v>692</v>
      </c>
      <c r="K96" s="16" t="s">
        <v>693</v>
      </c>
      <c r="L96" s="17" t="s">
        <v>680</v>
      </c>
      <c r="M96" s="15">
        <v>5</v>
      </c>
      <c r="N96" s="18">
        <v>0.56999999999999995</v>
      </c>
      <c r="O96" s="16" t="s">
        <v>694</v>
      </c>
      <c r="P96" s="19">
        <f t="shared" si="2"/>
        <v>268287994.33534402</v>
      </c>
      <c r="Q96" s="19">
        <v>208739165</v>
      </c>
      <c r="R96" s="20">
        <v>59548829.335344017</v>
      </c>
      <c r="S96" s="21">
        <f t="shared" si="3"/>
        <v>0.2852786602616908</v>
      </c>
      <c r="V96" s="16" t="s">
        <v>695</v>
      </c>
    </row>
    <row r="97" spans="3:22" ht="25.15" customHeight="1" x14ac:dyDescent="0.6">
      <c r="C97" s="12">
        <v>46142</v>
      </c>
      <c r="D97" s="24" t="s">
        <v>596</v>
      </c>
      <c r="F97" s="14" t="s">
        <v>355</v>
      </c>
      <c r="G97" s="15" t="s">
        <v>696</v>
      </c>
      <c r="H97" s="16" t="s">
        <v>697</v>
      </c>
      <c r="I97" s="17" t="s">
        <v>698</v>
      </c>
      <c r="J97" s="16" t="s">
        <v>699</v>
      </c>
      <c r="K97" s="16" t="s">
        <v>700</v>
      </c>
      <c r="L97" s="17" t="s">
        <v>680</v>
      </c>
      <c r="M97" s="15">
        <v>6</v>
      </c>
      <c r="N97" s="18">
        <v>0.56999999999999995</v>
      </c>
      <c r="O97" s="16" t="s">
        <v>701</v>
      </c>
      <c r="P97" s="19">
        <f t="shared" si="2"/>
        <v>275044966.19</v>
      </c>
      <c r="Q97" s="19">
        <v>208739165</v>
      </c>
      <c r="R97" s="20">
        <v>66305801.190000013</v>
      </c>
      <c r="S97" s="21">
        <f t="shared" si="3"/>
        <v>0.31764906786898384</v>
      </c>
      <c r="V97" s="16" t="s">
        <v>702</v>
      </c>
    </row>
    <row r="98" spans="3:22" ht="25.15" customHeight="1" x14ac:dyDescent="0.6">
      <c r="C98" s="12">
        <v>46143</v>
      </c>
      <c r="D98" s="24" t="s">
        <v>456</v>
      </c>
      <c r="F98" s="14" t="s">
        <v>355</v>
      </c>
      <c r="G98" s="15" t="s">
        <v>703</v>
      </c>
      <c r="H98" s="17" t="s">
        <v>704</v>
      </c>
      <c r="I98" s="17" t="s">
        <v>705</v>
      </c>
      <c r="J98" s="16" t="s">
        <v>706</v>
      </c>
      <c r="K98" s="16" t="s">
        <v>707</v>
      </c>
      <c r="L98" s="17" t="s">
        <v>672</v>
      </c>
      <c r="M98" s="15">
        <v>7</v>
      </c>
      <c r="N98" s="18">
        <v>0.56999999999999995</v>
      </c>
      <c r="O98" s="16" t="s">
        <v>708</v>
      </c>
      <c r="P98" s="19">
        <f t="shared" si="2"/>
        <v>284063441.21920639</v>
      </c>
      <c r="Q98" s="19">
        <v>219980932</v>
      </c>
      <c r="R98" s="20">
        <v>64082509.219206408</v>
      </c>
      <c r="S98" s="21">
        <f t="shared" si="3"/>
        <v>0.29130938139314005</v>
      </c>
      <c r="V98" s="17" t="s">
        <v>709</v>
      </c>
    </row>
    <row r="99" spans="3:22" ht="25.15" customHeight="1" x14ac:dyDescent="0.6">
      <c r="C99" s="12">
        <v>46144</v>
      </c>
      <c r="D99" s="24" t="s">
        <v>596</v>
      </c>
      <c r="F99" s="14" t="s">
        <v>355</v>
      </c>
      <c r="G99" s="15" t="s">
        <v>710</v>
      </c>
      <c r="H99" s="26" t="s">
        <v>711</v>
      </c>
      <c r="I99" s="17" t="s">
        <v>712</v>
      </c>
      <c r="J99" s="16" t="s">
        <v>713</v>
      </c>
      <c r="K99" s="16" t="s">
        <v>714</v>
      </c>
      <c r="L99" s="17" t="s">
        <v>680</v>
      </c>
      <c r="M99" s="15">
        <v>8</v>
      </c>
      <c r="N99" s="18">
        <v>0.56999999999999995</v>
      </c>
      <c r="O99" s="16" t="s">
        <v>715</v>
      </c>
      <c r="P99" s="19">
        <f t="shared" si="2"/>
        <v>294345174.49400002</v>
      </c>
      <c r="Q99" s="19">
        <v>219980932</v>
      </c>
      <c r="R99" s="20">
        <v>74364242.494000033</v>
      </c>
      <c r="S99" s="21">
        <f t="shared" si="3"/>
        <v>0.33804858365633267</v>
      </c>
      <c r="V99" s="16"/>
    </row>
    <row r="100" spans="3:22" ht="25.15" customHeight="1" x14ac:dyDescent="0.6">
      <c r="C100" s="12">
        <v>46145</v>
      </c>
      <c r="D100" s="24" t="s">
        <v>456</v>
      </c>
      <c r="F100" s="14" t="s">
        <v>355</v>
      </c>
      <c r="G100" s="15" t="s">
        <v>716</v>
      </c>
      <c r="I100" s="17" t="s">
        <v>717</v>
      </c>
      <c r="J100" s="16" t="s">
        <v>718</v>
      </c>
      <c r="K100" s="16" t="s">
        <v>719</v>
      </c>
      <c r="L100" s="17" t="s">
        <v>672</v>
      </c>
      <c r="M100" s="15">
        <v>9</v>
      </c>
      <c r="N100" s="18">
        <v>0.56999999999999995</v>
      </c>
      <c r="O100" s="16" t="s">
        <v>720</v>
      </c>
      <c r="P100" s="19">
        <f t="shared" si="2"/>
        <v>294345174.49400002</v>
      </c>
      <c r="Q100" s="19">
        <v>219980932</v>
      </c>
      <c r="R100" s="20">
        <v>74364242.494000033</v>
      </c>
      <c r="S100" s="21">
        <f t="shared" si="3"/>
        <v>0.33804858365633267</v>
      </c>
    </row>
    <row r="101" spans="3:22" ht="25.15" customHeight="1" x14ac:dyDescent="0.6">
      <c r="C101" s="12">
        <v>46146</v>
      </c>
      <c r="D101" s="24" t="s">
        <v>596</v>
      </c>
      <c r="F101" s="14" t="s">
        <v>355</v>
      </c>
      <c r="G101" s="15" t="s">
        <v>721</v>
      </c>
      <c r="I101" s="17" t="s">
        <v>722</v>
      </c>
      <c r="J101" s="16" t="s">
        <v>723</v>
      </c>
      <c r="K101" s="16" t="s">
        <v>724</v>
      </c>
      <c r="L101" s="17" t="s">
        <v>680</v>
      </c>
      <c r="M101" s="15">
        <v>10</v>
      </c>
      <c r="N101" s="18">
        <v>0.56999999999999995</v>
      </c>
      <c r="O101" s="16" t="s">
        <v>725</v>
      </c>
      <c r="P101" s="19">
        <f t="shared" si="2"/>
        <v>301217021.38859999</v>
      </c>
      <c r="Q101" s="19">
        <v>221841651</v>
      </c>
      <c r="R101" s="20">
        <v>79375370.388600007</v>
      </c>
      <c r="S101" s="21">
        <f t="shared" si="3"/>
        <v>0.35780192777505071</v>
      </c>
    </row>
    <row r="102" spans="3:22" ht="25.15" customHeight="1" x14ac:dyDescent="0.6">
      <c r="C102" s="12">
        <v>46147</v>
      </c>
      <c r="D102" s="24" t="s">
        <v>596</v>
      </c>
      <c r="F102" s="14" t="s">
        <v>355</v>
      </c>
      <c r="G102" s="15" t="s">
        <v>721</v>
      </c>
      <c r="H102" s="16" t="s">
        <v>726</v>
      </c>
      <c r="I102" s="17" t="s">
        <v>727</v>
      </c>
      <c r="J102" s="16" t="s">
        <v>728</v>
      </c>
      <c r="K102" s="16" t="s">
        <v>729</v>
      </c>
      <c r="L102" s="17" t="s">
        <v>680</v>
      </c>
      <c r="M102" s="15">
        <v>10</v>
      </c>
      <c r="N102" s="18">
        <v>0.56999999999999995</v>
      </c>
      <c r="O102" s="16" t="s">
        <v>730</v>
      </c>
      <c r="P102" s="19">
        <f t="shared" si="2"/>
        <v>309763949.17419994</v>
      </c>
      <c r="Q102" s="19">
        <v>224969697</v>
      </c>
      <c r="R102" s="20">
        <v>84794252.174199969</v>
      </c>
      <c r="S102" s="21">
        <f t="shared" si="3"/>
        <v>0.37691410578821188</v>
      </c>
      <c r="V102" s="26" t="s">
        <v>731</v>
      </c>
    </row>
    <row r="103" spans="3:22" ht="25.15" customHeight="1" x14ac:dyDescent="0.6">
      <c r="C103" s="12">
        <v>46148</v>
      </c>
      <c r="D103" s="24" t="s">
        <v>596</v>
      </c>
      <c r="F103" s="14" t="s">
        <v>355</v>
      </c>
      <c r="G103" s="15" t="s">
        <v>732</v>
      </c>
      <c r="H103" s="16" t="s">
        <v>733</v>
      </c>
      <c r="I103" s="17" t="s">
        <v>734</v>
      </c>
      <c r="J103" s="16" t="s">
        <v>735</v>
      </c>
      <c r="K103" s="16" t="s">
        <v>736</v>
      </c>
      <c r="L103" s="17" t="s">
        <v>680</v>
      </c>
      <c r="M103" s="15">
        <v>11</v>
      </c>
      <c r="N103" s="18">
        <v>0.7</v>
      </c>
      <c r="O103" s="16" t="s">
        <v>737</v>
      </c>
      <c r="P103" s="19">
        <f t="shared" si="2"/>
        <v>323093914.47839999</v>
      </c>
      <c r="Q103" s="19">
        <v>224969697</v>
      </c>
      <c r="R103" s="20">
        <v>98124217.478400007</v>
      </c>
      <c r="S103" s="21">
        <f t="shared" si="3"/>
        <v>0.43616637612486986</v>
      </c>
      <c r="V103" s="16" t="s">
        <v>738</v>
      </c>
    </row>
    <row r="104" spans="3:22" ht="25.15" customHeight="1" x14ac:dyDescent="0.6">
      <c r="C104" s="12">
        <v>46149</v>
      </c>
      <c r="D104" s="24" t="s">
        <v>596</v>
      </c>
      <c r="F104" s="14" t="s">
        <v>355</v>
      </c>
      <c r="G104" s="15" t="s">
        <v>739</v>
      </c>
      <c r="I104" s="17" t="s">
        <v>734</v>
      </c>
      <c r="J104" s="16" t="s">
        <v>740</v>
      </c>
      <c r="K104" s="16" t="s">
        <v>665</v>
      </c>
      <c r="L104" s="17" t="s">
        <v>680</v>
      </c>
      <c r="M104" s="15">
        <v>12</v>
      </c>
      <c r="N104" s="18">
        <v>0.7</v>
      </c>
      <c r="O104" s="16" t="s">
        <v>741</v>
      </c>
      <c r="P104" s="19">
        <f t="shared" si="2"/>
        <v>330987023</v>
      </c>
      <c r="Q104" s="19">
        <v>234987023</v>
      </c>
      <c r="R104" s="20">
        <v>96000000</v>
      </c>
      <c r="S104" s="21">
        <f t="shared" si="3"/>
        <v>0.40853319802259891</v>
      </c>
    </row>
    <row r="105" spans="3:22" ht="25.15" customHeight="1" x14ac:dyDescent="0.6">
      <c r="C105" s="12">
        <v>46151</v>
      </c>
      <c r="D105" s="24" t="s">
        <v>596</v>
      </c>
      <c r="F105" s="14" t="s">
        <v>355</v>
      </c>
      <c r="G105" s="15" t="s">
        <v>739</v>
      </c>
      <c r="H105" s="16" t="s">
        <v>742</v>
      </c>
      <c r="I105" s="17" t="s">
        <v>743</v>
      </c>
      <c r="J105" s="16" t="s">
        <v>744</v>
      </c>
      <c r="K105" s="16" t="s">
        <v>745</v>
      </c>
      <c r="L105" s="17" t="s">
        <v>680</v>
      </c>
      <c r="M105" s="15">
        <v>12</v>
      </c>
      <c r="N105" s="18">
        <v>0.7</v>
      </c>
      <c r="O105" s="16" t="s">
        <v>746</v>
      </c>
      <c r="P105" s="19">
        <f t="shared" si="2"/>
        <v>354412464.35759997</v>
      </c>
      <c r="Q105" s="19">
        <v>234987023</v>
      </c>
      <c r="R105" s="20">
        <v>119425441.3576</v>
      </c>
      <c r="S105" s="21">
        <f t="shared" si="3"/>
        <v>0.5082214321154237</v>
      </c>
      <c r="V105" s="16" t="s">
        <v>747</v>
      </c>
    </row>
    <row r="106" spans="3:22" ht="25.15" customHeight="1" x14ac:dyDescent="0.6">
      <c r="C106" s="12">
        <v>46152</v>
      </c>
      <c r="D106" s="24" t="s">
        <v>748</v>
      </c>
      <c r="F106" s="14" t="s">
        <v>355</v>
      </c>
      <c r="G106" s="15" t="s">
        <v>749</v>
      </c>
      <c r="H106" s="16" t="s">
        <v>750</v>
      </c>
      <c r="I106" s="17" t="s">
        <v>751</v>
      </c>
      <c r="J106" s="16" t="s">
        <v>752</v>
      </c>
      <c r="K106" s="16" t="s">
        <v>753</v>
      </c>
      <c r="L106" s="17" t="s">
        <v>680</v>
      </c>
      <c r="M106" s="15">
        <v>13</v>
      </c>
      <c r="N106" s="18">
        <v>0.75</v>
      </c>
      <c r="O106" s="16" t="s">
        <v>754</v>
      </c>
      <c r="P106" s="19">
        <f t="shared" si="2"/>
        <v>354412464.35759997</v>
      </c>
      <c r="Q106" s="19">
        <v>234987023</v>
      </c>
      <c r="R106" s="20">
        <v>119425441.3576</v>
      </c>
      <c r="S106" s="21">
        <f t="shared" si="3"/>
        <v>0.5082214321154237</v>
      </c>
      <c r="V106" s="16" t="s">
        <v>755</v>
      </c>
    </row>
    <row r="107" spans="3:22" ht="25.15" customHeight="1" x14ac:dyDescent="0.6">
      <c r="C107" s="12">
        <v>46153</v>
      </c>
      <c r="D107" s="24" t="s">
        <v>596</v>
      </c>
      <c r="F107" s="14" t="s">
        <v>355</v>
      </c>
      <c r="G107" s="15" t="s">
        <v>756</v>
      </c>
      <c r="H107" s="16" t="s">
        <v>757</v>
      </c>
      <c r="I107" s="17" t="s">
        <v>758</v>
      </c>
      <c r="J107" s="16" t="s">
        <v>759</v>
      </c>
      <c r="K107" s="16" t="s">
        <v>760</v>
      </c>
      <c r="L107" s="17" t="s">
        <v>680</v>
      </c>
      <c r="M107" s="15">
        <v>14</v>
      </c>
      <c r="N107" s="18">
        <v>0.75</v>
      </c>
      <c r="O107" s="16" t="s">
        <v>761</v>
      </c>
      <c r="P107" s="19">
        <f t="shared" si="2"/>
        <v>354412464.35759997</v>
      </c>
      <c r="Q107" s="19">
        <v>234987023</v>
      </c>
      <c r="R107" s="20">
        <v>119425441.3576</v>
      </c>
      <c r="S107" s="21">
        <f t="shared" si="3"/>
        <v>0.5082214321154237</v>
      </c>
      <c r="V107" s="16" t="s">
        <v>762</v>
      </c>
    </row>
    <row r="108" spans="3:22" ht="25.15" customHeight="1" x14ac:dyDescent="0.6">
      <c r="C108" s="12">
        <v>46154</v>
      </c>
      <c r="D108" s="24" t="s">
        <v>596</v>
      </c>
      <c r="F108" s="14" t="s">
        <v>355</v>
      </c>
      <c r="G108" s="15" t="s">
        <v>763</v>
      </c>
      <c r="H108" s="22" t="s">
        <v>764</v>
      </c>
      <c r="I108" s="17" t="s">
        <v>765</v>
      </c>
      <c r="J108" s="16" t="s">
        <v>766</v>
      </c>
      <c r="K108" s="16" t="s">
        <v>767</v>
      </c>
      <c r="L108" s="17" t="s">
        <v>680</v>
      </c>
      <c r="M108" s="15">
        <v>15</v>
      </c>
      <c r="N108" s="18">
        <v>1</v>
      </c>
      <c r="O108" s="16" t="s">
        <v>768</v>
      </c>
      <c r="P108" s="19">
        <f t="shared" si="2"/>
        <v>367685489.85800004</v>
      </c>
      <c r="Q108" s="19">
        <v>236088745</v>
      </c>
      <c r="R108" s="20">
        <v>131596744.85800001</v>
      </c>
      <c r="S108" s="21">
        <f t="shared" si="3"/>
        <v>0.55740372061361931</v>
      </c>
      <c r="V108" s="16" t="s">
        <v>769</v>
      </c>
    </row>
    <row r="109" spans="3:22" ht="25.15" customHeight="1" x14ac:dyDescent="0.6">
      <c r="C109" s="12">
        <v>46155</v>
      </c>
      <c r="D109" s="24" t="s">
        <v>596</v>
      </c>
      <c r="F109" s="14" t="s">
        <v>355</v>
      </c>
      <c r="G109" s="15" t="s">
        <v>770</v>
      </c>
      <c r="H109" s="16" t="s">
        <v>771</v>
      </c>
      <c r="I109" s="17" t="s">
        <v>772</v>
      </c>
      <c r="J109" s="16" t="s">
        <v>773</v>
      </c>
      <c r="K109" s="16" t="s">
        <v>774</v>
      </c>
      <c r="L109" s="17" t="s">
        <v>775</v>
      </c>
      <c r="M109" s="15">
        <v>1</v>
      </c>
      <c r="N109" s="18">
        <v>0.35</v>
      </c>
      <c r="O109" s="16" t="s">
        <v>776</v>
      </c>
      <c r="P109" s="19">
        <f t="shared" si="2"/>
        <v>377565857.57919997</v>
      </c>
      <c r="Q109" s="19">
        <v>255190471</v>
      </c>
      <c r="R109" s="20">
        <v>122375386.57919998</v>
      </c>
      <c r="S109" s="21">
        <f t="shared" si="3"/>
        <v>0.47954528278291386</v>
      </c>
      <c r="V109" s="16" t="s">
        <v>777</v>
      </c>
    </row>
    <row r="110" spans="3:22" ht="25.15" customHeight="1" x14ac:dyDescent="0.6">
      <c r="C110" s="12">
        <v>46156</v>
      </c>
      <c r="D110" s="24" t="s">
        <v>778</v>
      </c>
      <c r="F110" s="14" t="s">
        <v>355</v>
      </c>
      <c r="G110" s="15" t="s">
        <v>779</v>
      </c>
      <c r="H110" s="16" t="s">
        <v>780</v>
      </c>
      <c r="I110" s="17" t="s">
        <v>781</v>
      </c>
      <c r="J110" s="16" t="s">
        <v>782</v>
      </c>
      <c r="K110" s="16" t="s">
        <v>783</v>
      </c>
      <c r="L110" s="17" t="s">
        <v>775</v>
      </c>
      <c r="M110" s="15">
        <v>2</v>
      </c>
      <c r="N110" s="18">
        <v>1</v>
      </c>
      <c r="O110" s="16" t="s">
        <v>784</v>
      </c>
      <c r="P110" s="19">
        <f t="shared" si="2"/>
        <v>387574680.48880005</v>
      </c>
      <c r="Q110" s="19">
        <v>255190471</v>
      </c>
      <c r="R110" s="20">
        <v>132384209.48880002</v>
      </c>
      <c r="S110" s="21">
        <f t="shared" si="3"/>
        <v>0.51876627277669796</v>
      </c>
      <c r="V110" s="16" t="s">
        <v>785</v>
      </c>
    </row>
    <row r="111" spans="3:22" ht="25.15" customHeight="1" x14ac:dyDescent="0.6">
      <c r="C111" s="12">
        <v>46157</v>
      </c>
      <c r="D111" s="24" t="s">
        <v>596</v>
      </c>
      <c r="F111" s="14" t="s">
        <v>355</v>
      </c>
      <c r="G111" s="15" t="s">
        <v>786</v>
      </c>
      <c r="H111" s="16" t="s">
        <v>787</v>
      </c>
      <c r="I111" s="17" t="s">
        <v>788</v>
      </c>
      <c r="J111" s="16" t="s">
        <v>789</v>
      </c>
      <c r="K111" s="16" t="s">
        <v>790</v>
      </c>
      <c r="L111" s="17" t="s">
        <v>791</v>
      </c>
      <c r="M111" s="15">
        <v>1</v>
      </c>
      <c r="N111" s="18">
        <v>0.57999999999999996</v>
      </c>
      <c r="O111" s="16" t="s">
        <v>792</v>
      </c>
      <c r="P111" s="19">
        <f t="shared" si="2"/>
        <v>385654462.7992</v>
      </c>
      <c r="Q111" s="19">
        <v>255190471</v>
      </c>
      <c r="R111" s="20">
        <v>130463991.7992</v>
      </c>
      <c r="S111" s="21">
        <f t="shared" si="3"/>
        <v>0.511241627823948</v>
      </c>
      <c r="V111" s="16" t="s">
        <v>793</v>
      </c>
    </row>
    <row r="112" spans="3:22" ht="25.15" customHeight="1" x14ac:dyDescent="0.6">
      <c r="C112" s="12">
        <v>46158</v>
      </c>
      <c r="D112" s="24" t="s">
        <v>596</v>
      </c>
      <c r="F112" s="14" t="s">
        <v>355</v>
      </c>
      <c r="G112" s="15" t="s">
        <v>794</v>
      </c>
      <c r="H112" s="16" t="s">
        <v>795</v>
      </c>
      <c r="I112" s="17" t="s">
        <v>796</v>
      </c>
      <c r="J112" s="16" t="s">
        <v>797</v>
      </c>
      <c r="K112" s="16" t="s">
        <v>798</v>
      </c>
      <c r="L112" s="17" t="s">
        <v>799</v>
      </c>
      <c r="M112" s="15">
        <v>0</v>
      </c>
      <c r="N112" s="18">
        <v>1</v>
      </c>
      <c r="O112" s="16" t="s">
        <v>800</v>
      </c>
      <c r="P112" s="19">
        <f t="shared" si="2"/>
        <v>370766630.10720003</v>
      </c>
      <c r="Q112" s="19">
        <v>256186270</v>
      </c>
      <c r="R112" s="20">
        <v>114580360.1072</v>
      </c>
      <c r="S112" s="21">
        <f t="shared" si="3"/>
        <v>0.44725410189702985</v>
      </c>
      <c r="V112" s="16" t="s">
        <v>801</v>
      </c>
    </row>
    <row r="113" spans="3:22" ht="25.15" customHeight="1" x14ac:dyDescent="0.6">
      <c r="C113" s="12">
        <v>46159</v>
      </c>
      <c r="D113" s="24" t="s">
        <v>596</v>
      </c>
      <c r="F113" s="14" t="s">
        <v>355</v>
      </c>
      <c r="G113" s="15" t="s">
        <v>802</v>
      </c>
      <c r="H113" s="16" t="s">
        <v>803</v>
      </c>
      <c r="I113" s="17" t="s">
        <v>804</v>
      </c>
      <c r="J113" s="16" t="s">
        <v>805</v>
      </c>
      <c r="K113" s="16" t="s">
        <v>806</v>
      </c>
      <c r="L113" s="17" t="s">
        <v>807</v>
      </c>
      <c r="M113" s="15">
        <v>1</v>
      </c>
      <c r="N113" s="18">
        <v>0.45</v>
      </c>
      <c r="O113" s="16" t="s">
        <v>808</v>
      </c>
      <c r="P113" s="19">
        <f t="shared" si="2"/>
        <v>370766630.10720003</v>
      </c>
      <c r="Q113" s="19">
        <v>256186270</v>
      </c>
      <c r="R113" s="20">
        <v>114580360.1072</v>
      </c>
      <c r="S113" s="21">
        <f t="shared" si="3"/>
        <v>0.44725410189702985</v>
      </c>
      <c r="V113" s="16" t="s">
        <v>809</v>
      </c>
    </row>
    <row r="114" spans="3:22" ht="25.15" customHeight="1" x14ac:dyDescent="0.6">
      <c r="C114" s="12">
        <v>46160</v>
      </c>
      <c r="D114" s="24" t="s">
        <v>596</v>
      </c>
      <c r="F114" s="14" t="s">
        <v>355</v>
      </c>
      <c r="G114" s="15" t="s">
        <v>810</v>
      </c>
      <c r="H114" s="16" t="s">
        <v>811</v>
      </c>
      <c r="I114" s="17" t="s">
        <v>812</v>
      </c>
      <c r="J114" s="16" t="s">
        <v>813</v>
      </c>
      <c r="K114" s="16" t="s">
        <v>814</v>
      </c>
      <c r="L114" s="17" t="s">
        <v>807</v>
      </c>
      <c r="M114" s="15">
        <v>2</v>
      </c>
      <c r="N114" s="18">
        <v>0.45</v>
      </c>
      <c r="O114" s="16" t="s">
        <v>808</v>
      </c>
      <c r="P114" s="19">
        <f t="shared" si="2"/>
        <v>370776002.74239999</v>
      </c>
      <c r="Q114" s="19">
        <v>256186270</v>
      </c>
      <c r="R114" s="20">
        <v>114589732.74239999</v>
      </c>
      <c r="S114" s="21">
        <f t="shared" si="3"/>
        <v>0.44729068713323311</v>
      </c>
      <c r="V114" s="16" t="s">
        <v>815</v>
      </c>
    </row>
    <row r="115" spans="3:22" ht="25.15" customHeight="1" x14ac:dyDescent="0.6">
      <c r="C115" s="12">
        <v>46161</v>
      </c>
      <c r="D115" s="24" t="s">
        <v>596</v>
      </c>
      <c r="F115" s="14" t="s">
        <v>355</v>
      </c>
      <c r="G115" s="15" t="s">
        <v>816</v>
      </c>
      <c r="I115" s="17" t="s">
        <v>817</v>
      </c>
      <c r="J115" s="16"/>
      <c r="K115" s="16" t="s">
        <v>818</v>
      </c>
      <c r="L115" s="17" t="s">
        <v>807</v>
      </c>
      <c r="M115" s="15">
        <v>3</v>
      </c>
      <c r="N115" s="18">
        <v>0.45</v>
      </c>
      <c r="O115" s="16" t="s">
        <v>819</v>
      </c>
      <c r="P115" s="19">
        <f t="shared" si="2"/>
        <v>360890514.51039994</v>
      </c>
      <c r="Q115" s="19">
        <v>256186270</v>
      </c>
      <c r="R115" s="20">
        <v>104704244.51039995</v>
      </c>
      <c r="S115" s="21">
        <f t="shared" si="3"/>
        <v>0.4087035753727159</v>
      </c>
      <c r="V115" s="16" t="s">
        <v>820</v>
      </c>
    </row>
    <row r="116" spans="3:22" ht="25.15" customHeight="1" x14ac:dyDescent="0.6">
      <c r="C116" s="12">
        <v>46162</v>
      </c>
      <c r="D116" s="24" t="s">
        <v>596</v>
      </c>
      <c r="F116" s="14" t="s">
        <v>355</v>
      </c>
      <c r="G116" s="15" t="s">
        <v>821</v>
      </c>
      <c r="H116" s="16" t="s">
        <v>822</v>
      </c>
      <c r="I116" s="17" t="s">
        <v>823</v>
      </c>
      <c r="J116" s="16" t="s">
        <v>824</v>
      </c>
      <c r="K116" s="16" t="s">
        <v>825</v>
      </c>
      <c r="L116" s="17" t="s">
        <v>807</v>
      </c>
      <c r="M116" s="15">
        <v>4</v>
      </c>
      <c r="N116" s="18">
        <v>1</v>
      </c>
      <c r="O116" s="16" t="s">
        <v>826</v>
      </c>
      <c r="P116" s="19">
        <f t="shared" si="2"/>
        <v>360802868.61809999</v>
      </c>
      <c r="Q116" s="19">
        <v>255793649</v>
      </c>
      <c r="R116" s="20">
        <v>105009219.6181</v>
      </c>
      <c r="S116" s="21">
        <f t="shared" si="3"/>
        <v>0.41052316986220405</v>
      </c>
      <c r="V116" s="16" t="s">
        <v>827</v>
      </c>
    </row>
    <row r="117" spans="3:22" ht="25.15" customHeight="1" x14ac:dyDescent="0.6">
      <c r="C117" s="12">
        <v>46163</v>
      </c>
      <c r="D117" s="24" t="s">
        <v>596</v>
      </c>
      <c r="F117" s="14" t="s">
        <v>355</v>
      </c>
      <c r="G117" s="15" t="s">
        <v>828</v>
      </c>
      <c r="H117" s="16" t="s">
        <v>829</v>
      </c>
      <c r="I117" s="17" t="s">
        <v>823</v>
      </c>
      <c r="J117" s="16" t="s">
        <v>830</v>
      </c>
      <c r="K117" s="16" t="s">
        <v>831</v>
      </c>
      <c r="L117" s="17" t="s">
        <v>832</v>
      </c>
      <c r="M117" s="15">
        <v>1</v>
      </c>
      <c r="N117" s="18">
        <v>0.16</v>
      </c>
      <c r="O117" s="16" t="s">
        <v>833</v>
      </c>
      <c r="P117" s="19">
        <f t="shared" si="2"/>
        <v>370223896.38560003</v>
      </c>
      <c r="Q117" s="19">
        <v>255421003</v>
      </c>
      <c r="R117" s="20">
        <v>114802893.38560003</v>
      </c>
      <c r="S117" s="21">
        <f t="shared" si="3"/>
        <v>0.44946536125535469</v>
      </c>
      <c r="V117" s="16" t="s">
        <v>834</v>
      </c>
    </row>
    <row r="118" spans="3:22" ht="24.95" customHeight="1" x14ac:dyDescent="0.6">
      <c r="C118" s="12">
        <v>46164</v>
      </c>
      <c r="D118" s="24" t="s">
        <v>596</v>
      </c>
      <c r="F118" s="14" t="s">
        <v>355</v>
      </c>
      <c r="G118" s="15" t="s">
        <v>835</v>
      </c>
      <c r="H118" s="16" t="s">
        <v>836</v>
      </c>
      <c r="I118" s="17" t="s">
        <v>837</v>
      </c>
      <c r="J118" s="16" t="s">
        <v>838</v>
      </c>
      <c r="K118" s="16" t="s">
        <v>839</v>
      </c>
      <c r="L118" s="17" t="s">
        <v>832</v>
      </c>
      <c r="M118" s="15">
        <v>2</v>
      </c>
      <c r="N118" s="18">
        <v>0.19</v>
      </c>
      <c r="O118" s="16" t="s">
        <v>840</v>
      </c>
      <c r="P118" s="19">
        <f t="shared" si="2"/>
        <v>394873026.88749999</v>
      </c>
      <c r="Q118" s="19">
        <v>255421003</v>
      </c>
      <c r="R118" s="20">
        <v>139452023.88749999</v>
      </c>
      <c r="S118" s="21">
        <f t="shared" si="3"/>
        <v>0.54596929089460977</v>
      </c>
      <c r="V118" s="16" t="s">
        <v>841</v>
      </c>
    </row>
    <row r="119" spans="3:22" ht="25.05" customHeight="1" x14ac:dyDescent="0.6">
      <c r="C119" s="12">
        <v>46165</v>
      </c>
      <c r="D119" s="24" t="s">
        <v>596</v>
      </c>
      <c r="F119" s="14" t="s">
        <v>355</v>
      </c>
      <c r="G119" s="15" t="s">
        <v>842</v>
      </c>
      <c r="H119" s="16" t="s">
        <v>843</v>
      </c>
      <c r="I119" s="17" t="s">
        <v>844</v>
      </c>
      <c r="J119" s="16" t="s">
        <v>845</v>
      </c>
      <c r="K119" s="16" t="s">
        <v>846</v>
      </c>
      <c r="L119" s="17" t="s">
        <v>832</v>
      </c>
      <c r="M119" s="15">
        <v>3</v>
      </c>
      <c r="N119" s="18">
        <v>0.19</v>
      </c>
      <c r="O119" s="16" t="s">
        <v>847</v>
      </c>
      <c r="P119" s="19">
        <f t="shared" si="2"/>
        <v>393809381.56830001</v>
      </c>
      <c r="Q119" s="19">
        <v>255421003</v>
      </c>
      <c r="R119" s="20">
        <v>138388378.56830001</v>
      </c>
      <c r="S119" s="21">
        <f t="shared" si="3"/>
        <v>0.54180500797853337</v>
      </c>
      <c r="V119" s="16" t="s">
        <v>848</v>
      </c>
    </row>
    <row r="120" spans="3:22" ht="25.05" customHeight="1" x14ac:dyDescent="0.6">
      <c r="C120" s="12">
        <v>46166</v>
      </c>
      <c r="D120" s="24" t="s">
        <v>456</v>
      </c>
      <c r="F120" s="14" t="s">
        <v>355</v>
      </c>
      <c r="G120" s="15" t="s">
        <v>849</v>
      </c>
      <c r="H120" s="16" t="s">
        <v>850</v>
      </c>
      <c r="I120" s="17" t="s">
        <v>851</v>
      </c>
      <c r="J120" s="17" t="s">
        <v>852</v>
      </c>
      <c r="K120" s="16" t="s">
        <v>853</v>
      </c>
      <c r="L120" s="17" t="s">
        <v>854</v>
      </c>
      <c r="M120" s="15">
        <v>4</v>
      </c>
      <c r="N120" s="18">
        <v>0.49</v>
      </c>
      <c r="O120" s="16" t="s">
        <v>855</v>
      </c>
      <c r="P120" s="19">
        <f t="shared" si="2"/>
        <v>393809381.56830001</v>
      </c>
      <c r="Q120" s="19">
        <v>255421003</v>
      </c>
      <c r="R120" s="20">
        <v>138388378.56830001</v>
      </c>
      <c r="S120" s="21">
        <f t="shared" si="3"/>
        <v>0.54180500797853337</v>
      </c>
      <c r="V120" s="16" t="s">
        <v>856</v>
      </c>
    </row>
    <row r="121" spans="3:22" ht="25.05" customHeight="1" x14ac:dyDescent="0.6">
      <c r="C121" s="12">
        <v>46167</v>
      </c>
      <c r="D121" s="24" t="s">
        <v>596</v>
      </c>
      <c r="F121" s="14" t="s">
        <v>355</v>
      </c>
      <c r="G121" s="15" t="s">
        <v>857</v>
      </c>
      <c r="H121" s="22" t="s">
        <v>858</v>
      </c>
      <c r="I121" s="17" t="s">
        <v>859</v>
      </c>
      <c r="J121" s="16" t="s">
        <v>860</v>
      </c>
      <c r="K121" s="16" t="s">
        <v>861</v>
      </c>
      <c r="L121" s="17" t="s">
        <v>832</v>
      </c>
      <c r="M121" s="15">
        <v>5</v>
      </c>
      <c r="N121" s="18">
        <v>1</v>
      </c>
      <c r="O121" s="16" t="s">
        <v>862</v>
      </c>
      <c r="P121" s="19">
        <f t="shared" si="2"/>
        <v>392773398.2840001</v>
      </c>
      <c r="Q121" s="19">
        <v>255421003</v>
      </c>
      <c r="R121" s="20">
        <v>137352395.2840001</v>
      </c>
      <c r="S121" s="21">
        <f t="shared" si="3"/>
        <v>0.53774902482862807</v>
      </c>
      <c r="V121" s="17" t="s">
        <v>863</v>
      </c>
    </row>
    <row r="122" spans="3:22" ht="25.05" customHeight="1" x14ac:dyDescent="0.6">
      <c r="C122" s="12">
        <v>46168</v>
      </c>
      <c r="D122" s="24" t="s">
        <v>596</v>
      </c>
      <c r="F122" s="14" t="s">
        <v>355</v>
      </c>
      <c r="G122" s="15" t="s">
        <v>864</v>
      </c>
      <c r="H122" s="16" t="s">
        <v>865</v>
      </c>
      <c r="I122" s="17" t="s">
        <v>866</v>
      </c>
      <c r="J122" s="16" t="s">
        <v>867</v>
      </c>
      <c r="K122" s="16" t="s">
        <v>868</v>
      </c>
      <c r="L122" s="17" t="s">
        <v>869</v>
      </c>
      <c r="M122" s="15">
        <v>1</v>
      </c>
      <c r="N122" s="18">
        <v>0.04</v>
      </c>
      <c r="O122" s="16" t="s">
        <v>870</v>
      </c>
      <c r="P122" s="19">
        <f t="shared" si="2"/>
        <v>400421003</v>
      </c>
      <c r="Q122" s="19">
        <v>255421003</v>
      </c>
      <c r="R122" s="20">
        <v>145000000</v>
      </c>
      <c r="S122" s="21">
        <f t="shared" si="3"/>
        <v>0.56769019891445649</v>
      </c>
      <c r="V122" s="17" t="s">
        <v>871</v>
      </c>
    </row>
    <row r="123" spans="3:22" ht="25.05" customHeight="1" x14ac:dyDescent="0.6">
      <c r="C123" s="12">
        <v>46169</v>
      </c>
      <c r="D123" s="24" t="s">
        <v>596</v>
      </c>
      <c r="F123" s="14" t="s">
        <v>355</v>
      </c>
      <c r="G123" s="15" t="s">
        <v>872</v>
      </c>
      <c r="H123" s="16" t="s">
        <v>873</v>
      </c>
      <c r="I123" s="17" t="s">
        <v>874</v>
      </c>
      <c r="J123" s="16" t="s">
        <v>875</v>
      </c>
      <c r="K123" s="16" t="s">
        <v>876</v>
      </c>
      <c r="L123" s="17" t="s">
        <v>869</v>
      </c>
      <c r="M123" s="15">
        <v>2</v>
      </c>
      <c r="N123" s="18">
        <v>0.04</v>
      </c>
      <c r="O123" s="16" t="s">
        <v>877</v>
      </c>
      <c r="P123" s="19">
        <f t="shared" si="2"/>
        <v>422360554.98879999</v>
      </c>
      <c r="Q123" s="19">
        <v>259029700</v>
      </c>
      <c r="R123" s="20">
        <v>163330854.98879999</v>
      </c>
      <c r="S123" s="21">
        <f t="shared" si="3"/>
        <v>0.63054875556277901</v>
      </c>
      <c r="V123" s="17" t="s">
        <v>878</v>
      </c>
    </row>
    <row r="124" spans="3:22" ht="25.05" customHeight="1" x14ac:dyDescent="0.6">
      <c r="C124" s="12">
        <v>46171</v>
      </c>
      <c r="D124" s="24" t="s">
        <v>596</v>
      </c>
      <c r="F124" s="14" t="s">
        <v>355</v>
      </c>
      <c r="G124" s="15" t="s">
        <v>879</v>
      </c>
      <c r="H124" s="16" t="s">
        <v>880</v>
      </c>
      <c r="I124" s="17" t="s">
        <v>874</v>
      </c>
      <c r="J124" s="16" t="s">
        <v>881</v>
      </c>
      <c r="K124" s="16" t="s">
        <v>882</v>
      </c>
      <c r="L124" s="17" t="s">
        <v>869</v>
      </c>
      <c r="M124" s="15">
        <v>4</v>
      </c>
      <c r="N124" s="18">
        <v>0.91</v>
      </c>
      <c r="O124" s="16" t="s">
        <v>883</v>
      </c>
      <c r="P124" s="19">
        <f t="shared" si="2"/>
        <v>437645078.61609995</v>
      </c>
      <c r="Q124" s="19">
        <v>259504783</v>
      </c>
      <c r="R124" s="20">
        <v>178140295.61609995</v>
      </c>
      <c r="S124" s="21">
        <f t="shared" si="3"/>
        <v>0.68646247501380331</v>
      </c>
      <c r="V124" s="17" t="s">
        <v>884</v>
      </c>
    </row>
    <row r="125" spans="3:22" ht="25.05" customHeight="1" x14ac:dyDescent="0.6">
      <c r="C125" s="12">
        <v>46172</v>
      </c>
      <c r="D125" s="24" t="s">
        <v>596</v>
      </c>
      <c r="F125" s="14" t="s">
        <v>355</v>
      </c>
      <c r="G125" s="15" t="s">
        <v>885</v>
      </c>
      <c r="I125" s="17" t="s">
        <v>874</v>
      </c>
      <c r="J125" s="16" t="s">
        <v>886</v>
      </c>
      <c r="K125" s="16" t="s">
        <v>887</v>
      </c>
      <c r="L125" s="17" t="s">
        <v>869</v>
      </c>
      <c r="M125" s="15">
        <v>5</v>
      </c>
      <c r="N125" s="18">
        <v>0.91</v>
      </c>
      <c r="O125" s="16" t="s">
        <v>888</v>
      </c>
      <c r="P125" s="19">
        <f t="shared" si="2"/>
        <v>456089571.03429997</v>
      </c>
      <c r="Q125" s="19">
        <v>264712882</v>
      </c>
      <c r="R125" s="20">
        <v>191376689.03429997</v>
      </c>
      <c r="S125" s="21">
        <f t="shared" si="3"/>
        <v>0.72295948572045676</v>
      </c>
      <c r="V125" s="17" t="s">
        <v>889</v>
      </c>
    </row>
  </sheetData>
  <phoneticPr fontId="2"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Archive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노정택</dc:creator>
  <cp:lastModifiedBy>노정택</cp:lastModifiedBy>
  <dcterms:created xsi:type="dcterms:W3CDTF">2026-05-30T22:41:56Z</dcterms:created>
  <dcterms:modified xsi:type="dcterms:W3CDTF">2026-05-30T23:14:10Z</dcterms:modified>
</cp:coreProperties>
</file>